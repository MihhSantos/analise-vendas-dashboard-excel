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ria.santos\Desktop\Miriã Santos\Particular\Estudos\Estudo\"/>
    </mc:Choice>
  </mc:AlternateContent>
  <xr:revisionPtr revIDLastSave="0" documentId="13_ncr:2001_{4139BF99-61A7-4941-BC7E-3C9DB22F8D08}" xr6:coauthVersionLast="47" xr6:coauthVersionMax="47" xr10:uidLastSave="{00000000-0000-0000-0000-000000000000}"/>
  <bookViews>
    <workbookView xWindow="-108" yWindow="-108" windowWidth="23256" windowHeight="12456" activeTab="2" xr2:uid="{2C26BCFC-3087-45BD-B985-6602AA5893BB}"/>
  </bookViews>
  <sheets>
    <sheet name="Vendas(Tabela Base)" sheetId="1" r:id="rId1"/>
    <sheet name="Tabela dinamica" sheetId="6" r:id="rId2"/>
    <sheet name="Dash (vendedorRegiao)" sheetId="7" r:id="rId3"/>
    <sheet name="Dash (CategoriaMês)" sheetId="8" r:id="rId4"/>
  </sheets>
  <definedNames>
    <definedName name="_xlnm._FilterDatabase" localSheetId="0" hidden="1">'Vendas(Tabela Base)'!$I$1:$I$2</definedName>
    <definedName name="SegmentaçãodeDados_vendedor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A7" i="8"/>
  <c r="A10" i="8"/>
  <c r="H92" i="1"/>
  <c r="A10" i="7"/>
  <c r="A7" i="7"/>
  <c r="A4" i="7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I2" i="1" s="1"/>
  <c r="K2" i="1" s="1"/>
</calcChain>
</file>

<file path=xl/sharedStrings.xml><?xml version="1.0" encoding="utf-8"?>
<sst xmlns="http://schemas.openxmlformats.org/spreadsheetml/2006/main" count="444" uniqueCount="41">
  <si>
    <t>data</t>
  </si>
  <si>
    <t>regiao</t>
  </si>
  <si>
    <t>produto</t>
  </si>
  <si>
    <t>categoria</t>
  </si>
  <si>
    <t>vendedor</t>
  </si>
  <si>
    <t>quantidade</t>
  </si>
  <si>
    <t>preco</t>
  </si>
  <si>
    <t>Sudeste</t>
  </si>
  <si>
    <t>Notebook</t>
  </si>
  <si>
    <t>Eletrônicos</t>
  </si>
  <si>
    <t>Ana</t>
  </si>
  <si>
    <t>Sul</t>
  </si>
  <si>
    <t>Mouse</t>
  </si>
  <si>
    <t>Carlos</t>
  </si>
  <si>
    <t>Nordeste</t>
  </si>
  <si>
    <t>Teclado</t>
  </si>
  <si>
    <t>Juliana</t>
  </si>
  <si>
    <t>Monitor</t>
  </si>
  <si>
    <t>Centro-Oeste</t>
  </si>
  <si>
    <t>Cadeira</t>
  </si>
  <si>
    <t>Gamer</t>
  </si>
  <si>
    <t>Pedro</t>
  </si>
  <si>
    <t>receita</t>
  </si>
  <si>
    <t>receita total</t>
  </si>
  <si>
    <t>quantidade vendida</t>
  </si>
  <si>
    <t>ticket medio</t>
  </si>
  <si>
    <t>Rótulos de Linha</t>
  </si>
  <si>
    <t>Total Geral</t>
  </si>
  <si>
    <t>Soma de quantidade</t>
  </si>
  <si>
    <t>jan</t>
  </si>
  <si>
    <t>fev</t>
  </si>
  <si>
    <t>mar</t>
  </si>
  <si>
    <t>abr</t>
  </si>
  <si>
    <t>Soma de preco</t>
  </si>
  <si>
    <t>Soma de receita total</t>
  </si>
  <si>
    <t>Soma de quantidade vendida</t>
  </si>
  <si>
    <t>Soma de ticket medio</t>
  </si>
  <si>
    <t>VISÂO GERAL</t>
  </si>
  <si>
    <t>ReceitaTotal</t>
  </si>
  <si>
    <t>Quantidade Vendida</t>
  </si>
  <si>
    <t>Ticket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</si>
</sst>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3" borderId="2" xfId="0" applyFont="1" applyFill="1" applyBorder="1"/>
    <xf numFmtId="0" fontId="0" fillId="0" borderId="0" xfId="0" applyNumberFormat="1"/>
    <xf numFmtId="0" fontId="3" fillId="3" borderId="2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363"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dinâmica23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($)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'Tabela dinamica'!$D$17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'Tabela dinamica'!$C$18:$C$22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Juliana</c:v>
                </c:pt>
                <c:pt idx="3">
                  <c:v>Pedro</c:v>
                </c:pt>
              </c:strCache>
            </c:strRef>
          </c:cat>
          <c:val>
            <c:numRef>
              <c:f>'Tabela dinamica'!$D$18:$D$22</c:f>
              <c:numCache>
                <c:formatCode>_("R$"* #,##0.00_);_("R$"* \(#,##0.00\);_("R$"* "-"??_);_(@_)</c:formatCode>
                <c:ptCount val="4"/>
                <c:pt idx="0">
                  <c:v>35280</c:v>
                </c:pt>
                <c:pt idx="1">
                  <c:v>28080</c:v>
                </c:pt>
                <c:pt idx="2">
                  <c:v>23280</c:v>
                </c:pt>
                <c:pt idx="3">
                  <c:v>18300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B-4A41-B9CC-D45365715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55352224"/>
        <c:axId val="1355339264"/>
        <c:axId val="0"/>
      </c:bar3DChart>
      <c:catAx>
        <c:axId val="135535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339264"/>
        <c:crosses val="autoZero"/>
        <c:auto val="1"/>
        <c:lblAlgn val="ctr"/>
        <c:lblOffset val="100"/>
        <c:noMultiLvlLbl val="0"/>
      </c:catAx>
      <c:valAx>
        <c:axId val="13553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352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dinâmica24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Vendas por Qtd de Produto (Vendedor)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dinamica'!$D$24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CD-43CC-82B9-CCBED78D1F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CD-43CC-82B9-CCBED78D1F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CD-43CC-82B9-CCBED78D1F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CD-43CC-82B9-CCBED78D1F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dinamica'!$C$25:$C$29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Juliana</c:v>
                </c:pt>
                <c:pt idx="3">
                  <c:v>Pedro</c:v>
                </c:pt>
              </c:strCache>
            </c:strRef>
          </c:cat>
          <c:val>
            <c:numRef>
              <c:f>'Tabela dinamica'!$D$25:$D$29</c:f>
              <c:numCache>
                <c:formatCode>General</c:formatCode>
                <c:ptCount val="4"/>
                <c:pt idx="0">
                  <c:v>89</c:v>
                </c:pt>
                <c:pt idx="1">
                  <c:v>117</c:v>
                </c:pt>
                <c:pt idx="2">
                  <c:v>88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CD-43CC-82B9-CCBED78D1F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Vendas por Qtd de Produto</a:t>
            </a:r>
            <a:r>
              <a:rPr lang="en-US" sz="1600" baseline="0"/>
              <a:t> (Região)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D1-4B66-B4A2-693A7DC032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D1-4B66-B4A2-693A7DC032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D1-4B66-B4A2-693A7DC032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D1-4B66-B4A2-693A7DC032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dinamica'!$C$4:$C$8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'Tabela dinamica'!$D$4:$D$8</c:f>
              <c:numCache>
                <c:formatCode>General</c:formatCode>
                <c:ptCount val="4"/>
                <c:pt idx="0">
                  <c:v>28</c:v>
                </c:pt>
                <c:pt idx="1">
                  <c:v>88</c:v>
                </c:pt>
                <c:pt idx="2">
                  <c:v>89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D1-4B66-B4A2-693A7DC032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($)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'Tabela dinamica'!$D$10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'Tabela dinamica'!$C$11:$C$15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'Tabela dinamica'!$D$11:$D$15</c:f>
              <c:numCache>
                <c:formatCode>_("R$"* #,##0.00_);_("R$"* \(#,##0.00\);_("R$"* "-"??_);_(@_)</c:formatCode>
                <c:ptCount val="4"/>
                <c:pt idx="0">
                  <c:v>18300</c:v>
                </c:pt>
                <c:pt idx="1">
                  <c:v>23280</c:v>
                </c:pt>
                <c:pt idx="2">
                  <c:v>35280</c:v>
                </c:pt>
                <c:pt idx="3">
                  <c:v>28080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E-40A2-9BAF-8008FB8F1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7095376"/>
        <c:axId val="1517092976"/>
        <c:axId val="0"/>
      </c:bar3DChart>
      <c:catAx>
        <c:axId val="151709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092976"/>
        <c:crosses val="autoZero"/>
        <c:auto val="1"/>
        <c:lblAlgn val="ctr"/>
        <c:lblOffset val="100"/>
        <c:noMultiLvlLbl val="0"/>
      </c:catAx>
      <c:valAx>
        <c:axId val="15170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095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dinâmica20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($)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'Tabela dinamica'!$G$11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'Tabela dinamica'!$F$12:$F$17</c:f>
              <c:strCache>
                <c:ptCount val="5"/>
                <c:pt idx="0">
                  <c:v>Cadeira</c:v>
                </c:pt>
                <c:pt idx="1">
                  <c:v>Monitor</c:v>
                </c:pt>
                <c:pt idx="2">
                  <c:v>Mouse</c:v>
                </c:pt>
                <c:pt idx="3">
                  <c:v>Notebook</c:v>
                </c:pt>
                <c:pt idx="4">
                  <c:v>Teclado</c:v>
                </c:pt>
              </c:strCache>
            </c:strRef>
          </c:cat>
          <c:val>
            <c:numRef>
              <c:f>'Tabela dinamica'!$G$12:$G$17</c:f>
              <c:numCache>
                <c:formatCode>_("R$"* #,##0.00_);_("R$"* \(#,##0.00\);_("R$"* "-"??_);_(@_)</c:formatCode>
                <c:ptCount val="5"/>
                <c:pt idx="0">
                  <c:v>16200</c:v>
                </c:pt>
                <c:pt idx="1">
                  <c:v>21600</c:v>
                </c:pt>
                <c:pt idx="2">
                  <c:v>1440</c:v>
                </c:pt>
                <c:pt idx="3">
                  <c:v>63000</c:v>
                </c:pt>
                <c:pt idx="4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6-4BAD-968E-C2A6167F4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7803487"/>
        <c:axId val="1617814047"/>
        <c:axId val="0"/>
      </c:bar3DChart>
      <c:catAx>
        <c:axId val="16178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814047"/>
        <c:crosses val="autoZero"/>
        <c:auto val="1"/>
        <c:lblAlgn val="ctr"/>
        <c:lblOffset val="100"/>
        <c:noMultiLvlLbl val="0"/>
      </c:catAx>
      <c:valAx>
        <c:axId val="16178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803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Vendas por Qtd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47-4491-92C5-C36096444A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47-4491-92C5-C36096444A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47-4491-92C5-C36096444A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47-4491-92C5-C36096444A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47-4491-92C5-C36096444A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dinamica'!$F$4:$F$9</c:f>
              <c:strCache>
                <c:ptCount val="5"/>
                <c:pt idx="0">
                  <c:v>Cadeira</c:v>
                </c:pt>
                <c:pt idx="1">
                  <c:v>Monitor</c:v>
                </c:pt>
                <c:pt idx="2">
                  <c:v>Mouse</c:v>
                </c:pt>
                <c:pt idx="3">
                  <c:v>Notebook</c:v>
                </c:pt>
                <c:pt idx="4">
                  <c:v>Teclado</c:v>
                </c:pt>
              </c:strCache>
            </c:strRef>
          </c:cat>
          <c:val>
            <c:numRef>
              <c:f>'Tabela dinamica'!$G$4:$G$9</c:f>
              <c:numCache>
                <c:formatCode>General</c:formatCode>
                <c:ptCount val="5"/>
                <c:pt idx="0">
                  <c:v>21</c:v>
                </c:pt>
                <c:pt idx="1">
                  <c:v>32</c:v>
                </c:pt>
                <c:pt idx="2">
                  <c:v>150</c:v>
                </c:pt>
                <c:pt idx="3">
                  <c:v>32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47-4491-92C5-C36096444A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Vendas ($) por Mês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dinamica'!$J$11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dinamica'!$I$12:$I$16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'Tabela dinamica'!$J$12:$J$16</c:f>
              <c:numCache>
                <c:formatCode>_("R$"* #,##0.00_);_("R$"* \(#,##0.00\);_("R$"* "-"??_);_(@_)</c:formatCode>
                <c:ptCount val="4"/>
                <c:pt idx="0">
                  <c:v>15240</c:v>
                </c:pt>
                <c:pt idx="1">
                  <c:v>19740</c:v>
                </c:pt>
                <c:pt idx="2">
                  <c:v>34980</c:v>
                </c:pt>
                <c:pt idx="3">
                  <c:v>34980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8-48C0-A5F0-EE160731D7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5680303"/>
        <c:axId val="1675680783"/>
      </c:lineChart>
      <c:catAx>
        <c:axId val="16756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5680783"/>
        <c:crosses val="autoZero"/>
        <c:auto val="1"/>
        <c:lblAlgn val="ctr"/>
        <c:lblOffset val="100"/>
        <c:noMultiLvlLbl val="0"/>
      </c:catAx>
      <c:valAx>
        <c:axId val="167568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568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de Vendas 2024.xlsx]Tabela dinamica!Tabela dinâmica21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Vendas por Qtd por Mês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4B-4E60-9763-2B59B3A2A1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4B-4E60-9763-2B59B3A2A1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4B-4E60-9763-2B59B3A2A1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4B-4E60-9763-2B59B3A2A1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dinamica'!$I$4:$I$8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'Tabela dinamica'!$J$4:$J$8</c:f>
              <c:numCache>
                <c:formatCode>General</c:formatCode>
                <c:ptCount val="4"/>
                <c:pt idx="0">
                  <c:v>45</c:v>
                </c:pt>
                <c:pt idx="1">
                  <c:v>64</c:v>
                </c:pt>
                <c:pt idx="2">
                  <c:v>103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4B-4E60-9763-2B59B3A2A1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18</xdr:row>
      <xdr:rowOff>114300</xdr:rowOff>
    </xdr:from>
    <xdr:to>
      <xdr:col>0</xdr:col>
      <xdr:colOff>1417320</xdr:colOff>
      <xdr:row>24</xdr:row>
      <xdr:rowOff>15240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AFFD90B-1ABF-4139-B69D-AD4393714808}"/>
            </a:ext>
          </a:extLst>
        </xdr:cNvPr>
        <xdr:cNvSpPr/>
      </xdr:nvSpPr>
      <xdr:spPr>
        <a:xfrm>
          <a:off x="22860" y="3406140"/>
          <a:ext cx="1394460" cy="9982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15240</xdr:colOff>
      <xdr:row>0</xdr:row>
      <xdr:rowOff>0</xdr:rowOff>
    </xdr:from>
    <xdr:to>
      <xdr:col>8</xdr:col>
      <xdr:colOff>22860</xdr:colOff>
      <xdr:row>12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BFB4AF-3D46-44B9-96E8-116050A49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0</xdr:row>
      <xdr:rowOff>0</xdr:rowOff>
    </xdr:from>
    <xdr:to>
      <xdr:col>15</xdr:col>
      <xdr:colOff>7620</xdr:colOff>
      <xdr:row>12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2F9864-733F-41DA-86E2-0E828129B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12</xdr:row>
      <xdr:rowOff>53340</xdr:rowOff>
    </xdr:from>
    <xdr:to>
      <xdr:col>15</xdr:col>
      <xdr:colOff>15240</xdr:colOff>
      <xdr:row>24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0B8527-49C9-4B40-88A1-88578FC5D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</xdr:colOff>
      <xdr:row>12</xdr:row>
      <xdr:rowOff>60960</xdr:rowOff>
    </xdr:from>
    <xdr:to>
      <xdr:col>8</xdr:col>
      <xdr:colOff>30480</xdr:colOff>
      <xdr:row>24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3BF329-B0FD-4EB8-9C0F-BD5AE076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15240</xdr:colOff>
      <xdr:row>10</xdr:row>
      <xdr:rowOff>15240</xdr:rowOff>
    </xdr:from>
    <xdr:to>
      <xdr:col>1</xdr:col>
      <xdr:colOff>0</xdr:colOff>
      <xdr:row>18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28000325-7071-42A1-A0B0-B37B1BE39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1844040"/>
              <a:ext cx="1432560" cy="154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121920</xdr:rowOff>
    </xdr:from>
    <xdr:to>
      <xdr:col>16</xdr:col>
      <xdr:colOff>320040</xdr:colOff>
      <xdr:row>24</xdr:row>
      <xdr:rowOff>22860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09CC778-6387-D8E2-9826-D579D4BE19D0}"/>
            </a:ext>
          </a:extLst>
        </xdr:cNvPr>
        <xdr:cNvSpPr/>
      </xdr:nvSpPr>
      <xdr:spPr>
        <a:xfrm>
          <a:off x="0" y="3413760"/>
          <a:ext cx="10820400" cy="9982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7620</xdr:colOff>
      <xdr:row>0</xdr:row>
      <xdr:rowOff>7620</xdr:rowOff>
    </xdr:from>
    <xdr:to>
      <xdr:col>8</xdr:col>
      <xdr:colOff>594360</xdr:colOff>
      <xdr:row>12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0D7B50-94A1-4664-8167-57CCA4E61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15240</xdr:rowOff>
    </xdr:from>
    <xdr:to>
      <xdr:col>16</xdr:col>
      <xdr:colOff>304800</xdr:colOff>
      <xdr:row>12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8F7806-3C6E-426A-96B6-7ECFBFF83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12</xdr:row>
      <xdr:rowOff>15240</xdr:rowOff>
    </xdr:from>
    <xdr:to>
      <xdr:col>9</xdr:col>
      <xdr:colOff>0</xdr:colOff>
      <xdr:row>23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8294A9-F6B9-4E05-A04C-38E409F72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12</xdr:row>
      <xdr:rowOff>15240</xdr:rowOff>
    </xdr:from>
    <xdr:to>
      <xdr:col>16</xdr:col>
      <xdr:colOff>312420</xdr:colOff>
      <xdr:row>24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0CD9017-4700-4FA8-8884-1E950C5E5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10</xdr:row>
      <xdr:rowOff>15240</xdr:rowOff>
    </xdr:from>
    <xdr:to>
      <xdr:col>0</xdr:col>
      <xdr:colOff>1341120</xdr:colOff>
      <xdr:row>18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753AE182-B018-4A8F-AA2A-0827C5341D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44040"/>
              <a:ext cx="1341120" cy="154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ã Alves dos Santos" refreshedDate="46091.641889699073" createdVersion="8" refreshedVersion="8" minRefreshableVersion="3" recordCount="90" xr:uid="{E40C6198-F24F-44C6-BBEB-F63C9231229E}">
  <cacheSource type="worksheet">
    <worksheetSource ref="A1:K91" sheet="Vendas(Tabela Base)"/>
  </cacheSource>
  <cacheFields count="13">
    <cacheField name="data" numFmtId="14">
      <sharedItems containsSemiMixedTypes="0" containsNonDate="0" containsDate="1" containsString="0" minDate="2024-01-05T00:00:00" maxDate="2024-05-01T00:00:00" count="90">
        <d v="2024-01-05T00:00:00"/>
        <d v="2024-01-07T00:00:00"/>
        <d v="2024-01-08T00:00:00"/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8T00:00:00"/>
        <d v="2024-01-30T00:00:00"/>
        <d v="2024-02-01T00:00:00"/>
        <d v="2024-02-02T00:00:00"/>
        <d v="2024-02-03T00:00:00"/>
        <d v="2024-02-05T00:00:00"/>
        <d v="2024-02-07T00:00:00"/>
        <d v="2024-02-08T00:00:00"/>
        <d v="2024-02-10T00:00:00"/>
        <d v="2024-02-12T00:00:00"/>
        <d v="2024-02-14T00:00:00"/>
        <d v="2024-02-15T00:00:00"/>
        <d v="2024-02-17T00:00:00"/>
        <d v="2024-02-18T00:00:00"/>
        <d v="2024-02-20T00:00:00"/>
        <d v="2024-02-22T00:00:00"/>
        <d v="2024-02-24T00:00:00"/>
        <d v="2024-02-25T00:00:00"/>
        <d v="2024-02-26T00:00:00"/>
        <d v="2024-02-27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  <fieldGroup par="12"/>
    </cacheField>
    <cacheField name="regiao" numFmtId="0">
      <sharedItems count="4">
        <s v="Sudeste"/>
        <s v="Sul"/>
        <s v="Nordeste"/>
        <s v="Centro-Oeste"/>
      </sharedItems>
    </cacheField>
    <cacheField name="produto" numFmtId="0">
      <sharedItems count="5">
        <s v="Notebook"/>
        <s v="Mouse"/>
        <s v="Teclado"/>
        <s v="Monitor"/>
        <s v="Cadeira"/>
      </sharedItems>
    </cacheField>
    <cacheField name="categoria" numFmtId="0">
      <sharedItems count="2">
        <s v="Eletrônicos"/>
        <s v="Gamer"/>
      </sharedItems>
    </cacheField>
    <cacheField name="vendedor" numFmtId="0">
      <sharedItems count="4">
        <s v="Ana"/>
        <s v="Carlos"/>
        <s v="Juliana"/>
        <s v="Pedro"/>
      </sharedItems>
    </cacheField>
    <cacheField name="quantidade" numFmtId="0">
      <sharedItems containsSemiMixedTypes="0" containsString="0" containsNumber="1" containsInteger="1" minValue="1" maxValue="12" count="12">
        <n v="3"/>
        <n v="10"/>
        <n v="5"/>
        <n v="2"/>
        <n v="1"/>
        <n v="8"/>
        <n v="4"/>
        <n v="6"/>
        <n v="7"/>
        <n v="9"/>
        <n v="12"/>
        <n v="11"/>
      </sharedItems>
    </cacheField>
    <cacheField name="preco" numFmtId="164">
      <sharedItems containsSemiMixedTypes="0" containsString="0" containsNumber="1" containsInteger="1" minValue="80" maxValue="3500" count="5">
        <n v="3500"/>
        <n v="80"/>
        <n v="150"/>
        <n v="1200"/>
        <n v="900"/>
      </sharedItems>
    </cacheField>
    <cacheField name="receita" numFmtId="164">
      <sharedItems containsSemiMixedTypes="0" containsString="0" containsNumber="1" containsInteger="1" minValue="400" maxValue="10500" count="20">
        <n v="10500"/>
        <n v="800"/>
        <n v="750"/>
        <n v="2400"/>
        <n v="900"/>
        <n v="3500"/>
        <n v="640"/>
        <n v="600"/>
        <n v="480"/>
        <n v="7000"/>
        <n v="1050"/>
        <n v="1200"/>
        <n v="720"/>
        <n v="450"/>
        <n v="3600"/>
        <n v="960"/>
        <n v="1800"/>
        <n v="560"/>
        <n v="400"/>
        <n v="880"/>
      </sharedItems>
    </cacheField>
    <cacheField name="receita total" numFmtId="0">
      <sharedItems containsString="0" containsBlank="1" containsNumber="1" containsInteger="1" minValue="194350" maxValue="194350"/>
    </cacheField>
    <cacheField name="quantidade vendida" numFmtId="0">
      <sharedItems containsString="0" containsBlank="1" containsNumber="1" containsInteger="1" minValue="322" maxValue="322"/>
    </cacheField>
    <cacheField name="ticket medio" numFmtId="0">
      <sharedItems containsString="0" containsBlank="1" containsNumber="1" minValue="603.57142857142856" maxValue="603.57142857142856"/>
    </cacheField>
    <cacheField name="Dias (data)" numFmtId="0" databaseField="0">
      <fieldGroup base="0">
        <rangePr groupBy="days" startDate="2024-01-05T00:00:00" endDate="2024-05-01T00:00:00"/>
        <groupItems count="368">
          <s v="&lt;05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5/2024"/>
        </groupItems>
      </fieldGroup>
    </cacheField>
    <cacheField name="Meses (data)" numFmtId="0" databaseField="0">
      <fieldGroup base="0">
        <rangePr groupBy="months" startDate="2024-01-05T00:00:00" endDate="2024-05-01T00:00:00"/>
        <groupItems count="14">
          <s v="&lt;05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5/2024"/>
        </groupItems>
      </fieldGroup>
    </cacheField>
  </cacheFields>
  <extLst>
    <ext xmlns:x14="http://schemas.microsoft.com/office/spreadsheetml/2009/9/main" uri="{725AE2AE-9491-48be-B2B4-4EB974FC3084}">
      <x14:pivotCacheDefinition pivotCacheId="1440440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x v="0"/>
    <x v="0"/>
    <x v="0"/>
    <x v="0"/>
    <x v="0"/>
    <n v="194350"/>
    <n v="322"/>
    <n v="603.57142857142856"/>
  </r>
  <r>
    <x v="1"/>
    <x v="1"/>
    <x v="1"/>
    <x v="0"/>
    <x v="1"/>
    <x v="1"/>
    <x v="1"/>
    <x v="1"/>
    <m/>
    <m/>
    <m/>
  </r>
  <r>
    <x v="2"/>
    <x v="2"/>
    <x v="2"/>
    <x v="0"/>
    <x v="2"/>
    <x v="2"/>
    <x v="2"/>
    <x v="2"/>
    <m/>
    <m/>
    <m/>
  </r>
  <r>
    <x v="3"/>
    <x v="0"/>
    <x v="3"/>
    <x v="0"/>
    <x v="0"/>
    <x v="3"/>
    <x v="3"/>
    <x v="3"/>
    <m/>
    <m/>
    <m/>
  </r>
  <r>
    <x v="4"/>
    <x v="3"/>
    <x v="4"/>
    <x v="1"/>
    <x v="3"/>
    <x v="4"/>
    <x v="4"/>
    <x v="4"/>
    <m/>
    <m/>
    <m/>
  </r>
  <r>
    <x v="5"/>
    <x v="1"/>
    <x v="0"/>
    <x v="0"/>
    <x v="1"/>
    <x v="4"/>
    <x v="0"/>
    <x v="5"/>
    <m/>
    <m/>
    <m/>
  </r>
  <r>
    <x v="6"/>
    <x v="2"/>
    <x v="1"/>
    <x v="0"/>
    <x v="2"/>
    <x v="5"/>
    <x v="1"/>
    <x v="6"/>
    <m/>
    <m/>
    <m/>
  </r>
  <r>
    <x v="7"/>
    <x v="0"/>
    <x v="2"/>
    <x v="0"/>
    <x v="0"/>
    <x v="6"/>
    <x v="2"/>
    <x v="7"/>
    <m/>
    <m/>
    <m/>
  </r>
  <r>
    <x v="8"/>
    <x v="3"/>
    <x v="3"/>
    <x v="0"/>
    <x v="3"/>
    <x v="3"/>
    <x v="3"/>
    <x v="3"/>
    <m/>
    <m/>
    <m/>
  </r>
  <r>
    <x v="9"/>
    <x v="1"/>
    <x v="4"/>
    <x v="1"/>
    <x v="1"/>
    <x v="4"/>
    <x v="4"/>
    <x v="4"/>
    <m/>
    <m/>
    <m/>
  </r>
  <r>
    <x v="10"/>
    <x v="0"/>
    <x v="1"/>
    <x v="0"/>
    <x v="0"/>
    <x v="7"/>
    <x v="1"/>
    <x v="8"/>
    <m/>
    <m/>
    <m/>
  </r>
  <r>
    <x v="11"/>
    <x v="2"/>
    <x v="0"/>
    <x v="0"/>
    <x v="2"/>
    <x v="3"/>
    <x v="0"/>
    <x v="9"/>
    <m/>
    <m/>
    <m/>
  </r>
  <r>
    <x v="12"/>
    <x v="1"/>
    <x v="2"/>
    <x v="0"/>
    <x v="1"/>
    <x v="8"/>
    <x v="2"/>
    <x v="10"/>
    <m/>
    <m/>
    <m/>
  </r>
  <r>
    <x v="13"/>
    <x v="3"/>
    <x v="3"/>
    <x v="0"/>
    <x v="3"/>
    <x v="4"/>
    <x v="3"/>
    <x v="11"/>
    <m/>
    <m/>
    <m/>
  </r>
  <r>
    <x v="14"/>
    <x v="0"/>
    <x v="4"/>
    <x v="1"/>
    <x v="0"/>
    <x v="4"/>
    <x v="4"/>
    <x v="4"/>
    <m/>
    <m/>
    <m/>
  </r>
  <r>
    <x v="15"/>
    <x v="2"/>
    <x v="1"/>
    <x v="0"/>
    <x v="2"/>
    <x v="9"/>
    <x v="1"/>
    <x v="12"/>
    <m/>
    <m/>
    <m/>
  </r>
  <r>
    <x v="16"/>
    <x v="1"/>
    <x v="0"/>
    <x v="0"/>
    <x v="1"/>
    <x v="3"/>
    <x v="0"/>
    <x v="9"/>
    <m/>
    <m/>
    <m/>
  </r>
  <r>
    <x v="17"/>
    <x v="0"/>
    <x v="2"/>
    <x v="0"/>
    <x v="0"/>
    <x v="0"/>
    <x v="2"/>
    <x v="13"/>
    <m/>
    <m/>
    <m/>
  </r>
  <r>
    <x v="18"/>
    <x v="3"/>
    <x v="3"/>
    <x v="0"/>
    <x v="3"/>
    <x v="0"/>
    <x v="3"/>
    <x v="14"/>
    <m/>
    <m/>
    <m/>
  </r>
  <r>
    <x v="19"/>
    <x v="2"/>
    <x v="4"/>
    <x v="1"/>
    <x v="2"/>
    <x v="4"/>
    <x v="4"/>
    <x v="4"/>
    <m/>
    <m/>
    <m/>
  </r>
  <r>
    <x v="20"/>
    <x v="1"/>
    <x v="1"/>
    <x v="0"/>
    <x v="1"/>
    <x v="10"/>
    <x v="1"/>
    <x v="15"/>
    <m/>
    <m/>
    <m/>
  </r>
  <r>
    <x v="21"/>
    <x v="0"/>
    <x v="0"/>
    <x v="0"/>
    <x v="0"/>
    <x v="4"/>
    <x v="0"/>
    <x v="5"/>
    <m/>
    <m/>
    <m/>
  </r>
  <r>
    <x v="22"/>
    <x v="2"/>
    <x v="2"/>
    <x v="0"/>
    <x v="2"/>
    <x v="6"/>
    <x v="2"/>
    <x v="7"/>
    <m/>
    <m/>
    <m/>
  </r>
  <r>
    <x v="23"/>
    <x v="1"/>
    <x v="3"/>
    <x v="0"/>
    <x v="1"/>
    <x v="3"/>
    <x v="3"/>
    <x v="3"/>
    <m/>
    <m/>
    <m/>
  </r>
  <r>
    <x v="24"/>
    <x v="3"/>
    <x v="4"/>
    <x v="1"/>
    <x v="3"/>
    <x v="3"/>
    <x v="4"/>
    <x v="16"/>
    <m/>
    <m/>
    <m/>
  </r>
  <r>
    <x v="25"/>
    <x v="0"/>
    <x v="1"/>
    <x v="0"/>
    <x v="0"/>
    <x v="8"/>
    <x v="1"/>
    <x v="17"/>
    <m/>
    <m/>
    <m/>
  </r>
  <r>
    <x v="26"/>
    <x v="2"/>
    <x v="0"/>
    <x v="0"/>
    <x v="2"/>
    <x v="4"/>
    <x v="0"/>
    <x v="5"/>
    <m/>
    <m/>
    <m/>
  </r>
  <r>
    <x v="27"/>
    <x v="1"/>
    <x v="2"/>
    <x v="0"/>
    <x v="1"/>
    <x v="7"/>
    <x v="2"/>
    <x v="4"/>
    <m/>
    <m/>
    <m/>
  </r>
  <r>
    <x v="28"/>
    <x v="0"/>
    <x v="3"/>
    <x v="0"/>
    <x v="0"/>
    <x v="4"/>
    <x v="3"/>
    <x v="11"/>
    <m/>
    <m/>
    <m/>
  </r>
  <r>
    <x v="29"/>
    <x v="3"/>
    <x v="4"/>
    <x v="1"/>
    <x v="3"/>
    <x v="4"/>
    <x v="4"/>
    <x v="4"/>
    <m/>
    <m/>
    <m/>
  </r>
  <r>
    <x v="30"/>
    <x v="0"/>
    <x v="0"/>
    <x v="0"/>
    <x v="0"/>
    <x v="3"/>
    <x v="0"/>
    <x v="9"/>
    <m/>
    <m/>
    <m/>
  </r>
  <r>
    <x v="31"/>
    <x v="1"/>
    <x v="1"/>
    <x v="0"/>
    <x v="1"/>
    <x v="9"/>
    <x v="1"/>
    <x v="12"/>
    <m/>
    <m/>
    <m/>
  </r>
  <r>
    <x v="32"/>
    <x v="2"/>
    <x v="2"/>
    <x v="0"/>
    <x v="2"/>
    <x v="2"/>
    <x v="2"/>
    <x v="2"/>
    <m/>
    <m/>
    <m/>
  </r>
  <r>
    <x v="33"/>
    <x v="0"/>
    <x v="3"/>
    <x v="0"/>
    <x v="0"/>
    <x v="3"/>
    <x v="3"/>
    <x v="3"/>
    <m/>
    <m/>
    <m/>
  </r>
  <r>
    <x v="34"/>
    <x v="3"/>
    <x v="4"/>
    <x v="1"/>
    <x v="3"/>
    <x v="4"/>
    <x v="4"/>
    <x v="4"/>
    <m/>
    <m/>
    <m/>
  </r>
  <r>
    <x v="35"/>
    <x v="1"/>
    <x v="0"/>
    <x v="0"/>
    <x v="1"/>
    <x v="4"/>
    <x v="0"/>
    <x v="5"/>
    <m/>
    <m/>
    <m/>
  </r>
  <r>
    <x v="36"/>
    <x v="2"/>
    <x v="1"/>
    <x v="0"/>
    <x v="2"/>
    <x v="8"/>
    <x v="1"/>
    <x v="17"/>
    <m/>
    <m/>
    <m/>
  </r>
  <r>
    <x v="37"/>
    <x v="0"/>
    <x v="2"/>
    <x v="0"/>
    <x v="0"/>
    <x v="6"/>
    <x v="2"/>
    <x v="7"/>
    <m/>
    <m/>
    <m/>
  </r>
  <r>
    <x v="38"/>
    <x v="3"/>
    <x v="3"/>
    <x v="0"/>
    <x v="3"/>
    <x v="3"/>
    <x v="3"/>
    <x v="3"/>
    <m/>
    <m/>
    <m/>
  </r>
  <r>
    <x v="39"/>
    <x v="1"/>
    <x v="4"/>
    <x v="1"/>
    <x v="1"/>
    <x v="4"/>
    <x v="4"/>
    <x v="4"/>
    <m/>
    <m/>
    <m/>
  </r>
  <r>
    <x v="40"/>
    <x v="0"/>
    <x v="1"/>
    <x v="0"/>
    <x v="0"/>
    <x v="2"/>
    <x v="1"/>
    <x v="18"/>
    <m/>
    <m/>
    <m/>
  </r>
  <r>
    <x v="41"/>
    <x v="2"/>
    <x v="0"/>
    <x v="0"/>
    <x v="2"/>
    <x v="3"/>
    <x v="0"/>
    <x v="9"/>
    <m/>
    <m/>
    <m/>
  </r>
  <r>
    <x v="42"/>
    <x v="1"/>
    <x v="2"/>
    <x v="0"/>
    <x v="1"/>
    <x v="7"/>
    <x v="2"/>
    <x v="4"/>
    <m/>
    <m/>
    <m/>
  </r>
  <r>
    <x v="43"/>
    <x v="0"/>
    <x v="3"/>
    <x v="0"/>
    <x v="0"/>
    <x v="4"/>
    <x v="3"/>
    <x v="11"/>
    <m/>
    <m/>
    <m/>
  </r>
  <r>
    <x v="44"/>
    <x v="3"/>
    <x v="4"/>
    <x v="1"/>
    <x v="3"/>
    <x v="3"/>
    <x v="4"/>
    <x v="16"/>
    <m/>
    <m/>
    <m/>
  </r>
  <r>
    <x v="45"/>
    <x v="0"/>
    <x v="0"/>
    <x v="0"/>
    <x v="0"/>
    <x v="0"/>
    <x v="0"/>
    <x v="0"/>
    <m/>
    <m/>
    <m/>
  </r>
  <r>
    <x v="46"/>
    <x v="1"/>
    <x v="1"/>
    <x v="0"/>
    <x v="1"/>
    <x v="11"/>
    <x v="1"/>
    <x v="19"/>
    <m/>
    <m/>
    <m/>
  </r>
  <r>
    <x v="47"/>
    <x v="2"/>
    <x v="2"/>
    <x v="0"/>
    <x v="2"/>
    <x v="6"/>
    <x v="2"/>
    <x v="7"/>
    <m/>
    <m/>
    <m/>
  </r>
  <r>
    <x v="48"/>
    <x v="0"/>
    <x v="3"/>
    <x v="0"/>
    <x v="0"/>
    <x v="3"/>
    <x v="3"/>
    <x v="3"/>
    <m/>
    <m/>
    <m/>
  </r>
  <r>
    <x v="49"/>
    <x v="3"/>
    <x v="4"/>
    <x v="1"/>
    <x v="3"/>
    <x v="4"/>
    <x v="4"/>
    <x v="4"/>
    <m/>
    <m/>
    <m/>
  </r>
  <r>
    <x v="50"/>
    <x v="1"/>
    <x v="0"/>
    <x v="0"/>
    <x v="1"/>
    <x v="4"/>
    <x v="0"/>
    <x v="5"/>
    <m/>
    <m/>
    <m/>
  </r>
  <r>
    <x v="51"/>
    <x v="2"/>
    <x v="1"/>
    <x v="0"/>
    <x v="2"/>
    <x v="5"/>
    <x v="1"/>
    <x v="6"/>
    <m/>
    <m/>
    <m/>
  </r>
  <r>
    <x v="52"/>
    <x v="0"/>
    <x v="2"/>
    <x v="0"/>
    <x v="0"/>
    <x v="0"/>
    <x v="2"/>
    <x v="13"/>
    <m/>
    <m/>
    <m/>
  </r>
  <r>
    <x v="53"/>
    <x v="3"/>
    <x v="3"/>
    <x v="0"/>
    <x v="3"/>
    <x v="3"/>
    <x v="3"/>
    <x v="3"/>
    <m/>
    <m/>
    <m/>
  </r>
  <r>
    <x v="54"/>
    <x v="1"/>
    <x v="4"/>
    <x v="1"/>
    <x v="1"/>
    <x v="4"/>
    <x v="4"/>
    <x v="4"/>
    <m/>
    <m/>
    <m/>
  </r>
  <r>
    <x v="55"/>
    <x v="0"/>
    <x v="1"/>
    <x v="0"/>
    <x v="0"/>
    <x v="7"/>
    <x v="1"/>
    <x v="8"/>
    <m/>
    <m/>
    <m/>
  </r>
  <r>
    <x v="56"/>
    <x v="2"/>
    <x v="0"/>
    <x v="0"/>
    <x v="2"/>
    <x v="3"/>
    <x v="0"/>
    <x v="9"/>
    <m/>
    <m/>
    <m/>
  </r>
  <r>
    <x v="57"/>
    <x v="1"/>
    <x v="2"/>
    <x v="0"/>
    <x v="1"/>
    <x v="8"/>
    <x v="2"/>
    <x v="10"/>
    <m/>
    <m/>
    <m/>
  </r>
  <r>
    <x v="58"/>
    <x v="0"/>
    <x v="3"/>
    <x v="0"/>
    <x v="0"/>
    <x v="4"/>
    <x v="3"/>
    <x v="11"/>
    <m/>
    <m/>
    <m/>
  </r>
  <r>
    <x v="59"/>
    <x v="3"/>
    <x v="4"/>
    <x v="1"/>
    <x v="3"/>
    <x v="4"/>
    <x v="4"/>
    <x v="4"/>
    <m/>
    <m/>
    <m/>
  </r>
  <r>
    <x v="60"/>
    <x v="0"/>
    <x v="0"/>
    <x v="0"/>
    <x v="0"/>
    <x v="3"/>
    <x v="0"/>
    <x v="9"/>
    <m/>
    <m/>
    <m/>
  </r>
  <r>
    <x v="61"/>
    <x v="1"/>
    <x v="1"/>
    <x v="0"/>
    <x v="1"/>
    <x v="1"/>
    <x v="1"/>
    <x v="1"/>
    <m/>
    <m/>
    <m/>
  </r>
  <r>
    <x v="62"/>
    <x v="2"/>
    <x v="2"/>
    <x v="0"/>
    <x v="2"/>
    <x v="2"/>
    <x v="2"/>
    <x v="2"/>
    <m/>
    <m/>
    <m/>
  </r>
  <r>
    <x v="63"/>
    <x v="0"/>
    <x v="3"/>
    <x v="0"/>
    <x v="0"/>
    <x v="0"/>
    <x v="3"/>
    <x v="14"/>
    <m/>
    <m/>
    <m/>
  </r>
  <r>
    <x v="64"/>
    <x v="3"/>
    <x v="4"/>
    <x v="1"/>
    <x v="3"/>
    <x v="4"/>
    <x v="4"/>
    <x v="4"/>
    <m/>
    <m/>
    <m/>
  </r>
  <r>
    <x v="65"/>
    <x v="1"/>
    <x v="0"/>
    <x v="0"/>
    <x v="1"/>
    <x v="4"/>
    <x v="0"/>
    <x v="5"/>
    <m/>
    <m/>
    <m/>
  </r>
  <r>
    <x v="66"/>
    <x v="2"/>
    <x v="1"/>
    <x v="0"/>
    <x v="2"/>
    <x v="9"/>
    <x v="1"/>
    <x v="12"/>
    <m/>
    <m/>
    <m/>
  </r>
  <r>
    <x v="67"/>
    <x v="0"/>
    <x v="2"/>
    <x v="0"/>
    <x v="0"/>
    <x v="6"/>
    <x v="2"/>
    <x v="7"/>
    <m/>
    <m/>
    <m/>
  </r>
  <r>
    <x v="68"/>
    <x v="3"/>
    <x v="3"/>
    <x v="0"/>
    <x v="3"/>
    <x v="3"/>
    <x v="3"/>
    <x v="3"/>
    <m/>
    <m/>
    <m/>
  </r>
  <r>
    <x v="69"/>
    <x v="1"/>
    <x v="4"/>
    <x v="1"/>
    <x v="1"/>
    <x v="4"/>
    <x v="4"/>
    <x v="4"/>
    <m/>
    <m/>
    <m/>
  </r>
  <r>
    <x v="70"/>
    <x v="0"/>
    <x v="1"/>
    <x v="0"/>
    <x v="0"/>
    <x v="8"/>
    <x v="1"/>
    <x v="17"/>
    <m/>
    <m/>
    <m/>
  </r>
  <r>
    <x v="71"/>
    <x v="2"/>
    <x v="0"/>
    <x v="0"/>
    <x v="2"/>
    <x v="3"/>
    <x v="0"/>
    <x v="9"/>
    <m/>
    <m/>
    <m/>
  </r>
  <r>
    <x v="72"/>
    <x v="1"/>
    <x v="2"/>
    <x v="0"/>
    <x v="1"/>
    <x v="7"/>
    <x v="2"/>
    <x v="4"/>
    <m/>
    <m/>
    <m/>
  </r>
  <r>
    <x v="73"/>
    <x v="0"/>
    <x v="3"/>
    <x v="0"/>
    <x v="0"/>
    <x v="4"/>
    <x v="3"/>
    <x v="11"/>
    <m/>
    <m/>
    <m/>
  </r>
  <r>
    <x v="74"/>
    <x v="3"/>
    <x v="4"/>
    <x v="1"/>
    <x v="3"/>
    <x v="3"/>
    <x v="4"/>
    <x v="16"/>
    <m/>
    <m/>
    <m/>
  </r>
  <r>
    <x v="75"/>
    <x v="0"/>
    <x v="0"/>
    <x v="0"/>
    <x v="0"/>
    <x v="0"/>
    <x v="0"/>
    <x v="0"/>
    <m/>
    <m/>
    <m/>
  </r>
  <r>
    <x v="76"/>
    <x v="1"/>
    <x v="1"/>
    <x v="0"/>
    <x v="1"/>
    <x v="10"/>
    <x v="1"/>
    <x v="15"/>
    <m/>
    <m/>
    <m/>
  </r>
  <r>
    <x v="77"/>
    <x v="2"/>
    <x v="2"/>
    <x v="0"/>
    <x v="2"/>
    <x v="6"/>
    <x v="2"/>
    <x v="7"/>
    <m/>
    <m/>
    <m/>
  </r>
  <r>
    <x v="78"/>
    <x v="0"/>
    <x v="3"/>
    <x v="0"/>
    <x v="0"/>
    <x v="3"/>
    <x v="3"/>
    <x v="3"/>
    <m/>
    <m/>
    <m/>
  </r>
  <r>
    <x v="79"/>
    <x v="3"/>
    <x v="4"/>
    <x v="1"/>
    <x v="3"/>
    <x v="4"/>
    <x v="4"/>
    <x v="4"/>
    <m/>
    <m/>
    <m/>
  </r>
  <r>
    <x v="80"/>
    <x v="1"/>
    <x v="0"/>
    <x v="0"/>
    <x v="1"/>
    <x v="4"/>
    <x v="0"/>
    <x v="5"/>
    <m/>
    <m/>
    <m/>
  </r>
  <r>
    <x v="81"/>
    <x v="2"/>
    <x v="1"/>
    <x v="0"/>
    <x v="2"/>
    <x v="5"/>
    <x v="1"/>
    <x v="6"/>
    <m/>
    <m/>
    <m/>
  </r>
  <r>
    <x v="82"/>
    <x v="0"/>
    <x v="2"/>
    <x v="0"/>
    <x v="0"/>
    <x v="0"/>
    <x v="2"/>
    <x v="13"/>
    <m/>
    <m/>
    <m/>
  </r>
  <r>
    <x v="83"/>
    <x v="3"/>
    <x v="3"/>
    <x v="0"/>
    <x v="3"/>
    <x v="3"/>
    <x v="3"/>
    <x v="3"/>
    <m/>
    <m/>
    <m/>
  </r>
  <r>
    <x v="84"/>
    <x v="1"/>
    <x v="4"/>
    <x v="1"/>
    <x v="1"/>
    <x v="4"/>
    <x v="4"/>
    <x v="4"/>
    <m/>
    <m/>
    <m/>
  </r>
  <r>
    <x v="85"/>
    <x v="0"/>
    <x v="1"/>
    <x v="0"/>
    <x v="0"/>
    <x v="7"/>
    <x v="1"/>
    <x v="8"/>
    <m/>
    <m/>
    <m/>
  </r>
  <r>
    <x v="86"/>
    <x v="2"/>
    <x v="0"/>
    <x v="0"/>
    <x v="2"/>
    <x v="3"/>
    <x v="0"/>
    <x v="9"/>
    <m/>
    <m/>
    <m/>
  </r>
  <r>
    <x v="87"/>
    <x v="1"/>
    <x v="2"/>
    <x v="0"/>
    <x v="1"/>
    <x v="8"/>
    <x v="2"/>
    <x v="10"/>
    <m/>
    <m/>
    <m/>
  </r>
  <r>
    <x v="88"/>
    <x v="0"/>
    <x v="3"/>
    <x v="0"/>
    <x v="0"/>
    <x v="4"/>
    <x v="3"/>
    <x v="11"/>
    <m/>
    <m/>
    <m/>
  </r>
  <r>
    <x v="89"/>
    <x v="3"/>
    <x v="4"/>
    <x v="1"/>
    <x v="3"/>
    <x v="4"/>
    <x v="4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3DD38-A07D-41DE-A1CF-675F30F1D293}" name="Tabela dinâ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C17:D22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numFmtId="164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preco" fld="6" baseField="0" baseItem="0" numFmtId="164"/>
  </dataFields>
  <formats count="1">
    <format dxfId="346">
      <pivotArea outline="0" collapsedLevelsAreSubtotals="1" fieldPosition="0"/>
    </format>
  </formats>
  <chartFormats count="2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A8846-021E-45C3-BD4E-E0C4883AC8DB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A10" firstHeaderRow="1" firstDataRow="1" firstDataCol="0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164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ticket medio" fld="10" baseField="0" baseItem="0" numFmtId="164"/>
  </dataFields>
  <formats count="3">
    <format dxfId="349">
      <pivotArea type="all" dataOnly="0" outline="0" fieldPosition="0"/>
    </format>
    <format dxfId="348">
      <pivotArea outline="0" collapsedLevelsAreSubtotals="1" fieldPosition="0"/>
    </format>
    <format dxfId="3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01213-A441-4067-B89F-C0E047055433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164"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receita total" fld="8" baseField="0" baseItem="0" numFmtId="44"/>
  </dataFields>
  <formats count="1">
    <format dxfId="3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9DCBA-41EA-44F3-BD8D-191B08074B8F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A7" firstHeaderRow="1" firstDataRow="1" firstDataCol="0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164"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quantidade vendid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E04C6-A5BF-4DE6-AD69-DE8E95727F45}" name="Tabela dinâ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3:G9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dade" fld="5" baseField="0" baseItem="0"/>
  </dataFields>
  <formats count="2">
    <format dxfId="352">
      <pivotArea outline="0" collapsedLevelsAreSubtotals="1" fieldPosition="0"/>
    </format>
    <format dxfId="351">
      <pivotArea dataOnly="0" labelOnly="1" outline="0" axis="axisValues" fieldPosition="0"/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24EF8-4A1C-4C8A-A106-215E62E2473A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10:D15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preco" fld="6" baseField="0" baseItem="0" numFmtId="164"/>
  </dataFields>
  <formats count="1">
    <format dxfId="353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B90EC-A121-4C63-8EF9-9458D37FB918}" name="Tabela dinâ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F11:G17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preco" fld="6" baseField="0" baseItem="0" numFmtId="164"/>
  </dataFields>
  <formats count="1">
    <format dxfId="354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09E14-8923-4336-AFA1-0EEF0247100D}" name="Tabela dinâ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24:D29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13">
        <item x="4"/>
        <item x="3"/>
        <item x="0"/>
        <item x="6"/>
        <item x="2"/>
        <item x="7"/>
        <item x="8"/>
        <item x="5"/>
        <item x="9"/>
        <item x="1"/>
        <item x="11"/>
        <item x="10"/>
        <item t="default"/>
      </items>
    </pivotField>
    <pivotField numFmtId="164" showAll="0"/>
    <pivotField numFmtId="164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dade" fld="5" baseField="0" baseItem="0"/>
  </dataFields>
  <formats count="3">
    <format dxfId="357">
      <pivotArea collapsedLevelsAreSubtotals="1" fieldPosition="0">
        <references count="1">
          <reference field="4" count="0"/>
        </references>
      </pivotArea>
    </format>
    <format dxfId="356">
      <pivotArea outline="0" collapsedLevelsAreSubtotals="1" fieldPosition="0"/>
    </format>
    <format dxfId="355">
      <pivotArea dataOnly="0" labelOnly="1" outline="0" axis="axisValues" fieldPosition="0"/>
    </format>
  </format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82CB3-2EFE-47BF-84F2-CAE7B501C67B}" name="Tabela dinâ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I11:J16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numFmtId="164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preco" fld="6" baseField="0" baseItem="0" numFmtId="164"/>
  </dataFields>
  <formats count="1">
    <format dxfId="358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F1C12-567C-4957-BD07-BE265194C71E}" name="Tabela dinâ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I3:J8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dade" fld="5" baseField="0" baseItem="0"/>
  </dataFields>
  <formats count="2">
    <format dxfId="360">
      <pivotArea outline="0" collapsedLevelsAreSubtotals="1" fieldPosition="0"/>
    </format>
    <format dxfId="359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D6DEB-B8E5-43D1-ABFB-668404986BF9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:D8" firstHeaderRow="1" firstDataRow="1" firstDataCol="1"/>
  <pivotFields count="13"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dade" fld="5" baseField="0" baseItem="0"/>
  </dataFields>
  <formats count="2">
    <format dxfId="362">
      <pivotArea collapsedLevelsAreSubtotals="1" fieldPosition="0">
        <references count="1">
          <reference field="1" count="0"/>
        </references>
      </pivotArea>
    </format>
    <format dxfId="361">
      <pivotArea outline="0" collapsedLevelsAreSubtotals="1" fieldPosition="0"/>
    </format>
  </formats>
  <chartFormats count="5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A36CDCCF-FC0B-45C4-93F3-40889FEB11C4}" sourceName="vendedor">
  <pivotTables>
    <pivotTable tabId="6" name="Tabela dinâmica17"/>
    <pivotTable tabId="6" name="Tabela dinâmica14"/>
    <pivotTable tabId="6" name="Tabela dinâmica15"/>
    <pivotTable tabId="6" name="Tabela dinâmica16"/>
    <pivotTable tabId="6" name="Tabela dinâmica18"/>
    <pivotTable tabId="6" name="Tabela dinâmica19"/>
    <pivotTable tabId="6" name="Tabela dinâmica20"/>
    <pivotTable tabId="6" name="Tabela dinâmica21"/>
    <pivotTable tabId="6" name="Tabela dinâmica22"/>
    <pivotTable tabId="6" name="Tabela dinâmica23"/>
    <pivotTable tabId="6" name="Tabela dinâmica24"/>
  </pivotTables>
  <data>
    <tabular pivotCacheId="144044005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F0A35BF7-762A-499A-BAFA-F5F7611CDC2E}" cache="SegmentaçãodeDados_vendedor" caption="vendedor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D8850A62-4872-4ADF-B35F-533F28EA554D}" cache="SegmentaçãodeDados_vendedor" caption="vendedor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1446-F105-4903-A3D9-042C8870F6FD}">
  <dimension ref="A1:K92"/>
  <sheetViews>
    <sheetView topLeftCell="A7" workbookViewId="0">
      <selection activeCell="A92" sqref="A92"/>
    </sheetView>
  </sheetViews>
  <sheetFormatPr defaultRowHeight="14.4" x14ac:dyDescent="0.3"/>
  <cols>
    <col min="1" max="1" width="10.33203125" bestFit="1" customWidth="1"/>
    <col min="2" max="2" width="11.88671875" bestFit="1" customWidth="1"/>
    <col min="3" max="3" width="8.77734375" bestFit="1" customWidth="1"/>
    <col min="4" max="4" width="10" bestFit="1" customWidth="1"/>
    <col min="5" max="5" width="8.44140625" bestFit="1" customWidth="1"/>
    <col min="6" max="6" width="10" bestFit="1" customWidth="1"/>
    <col min="7" max="7" width="10.5546875" bestFit="1" customWidth="1"/>
    <col min="8" max="8" width="11.5546875" bestFit="1" customWidth="1"/>
    <col min="9" max="9" width="12.5546875" bestFit="1" customWidth="1"/>
    <col min="10" max="10" width="16.6640625" bestFit="1" customWidth="1"/>
    <col min="11" max="11" width="10.7773437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22</v>
      </c>
      <c r="I1" s="4" t="s">
        <v>23</v>
      </c>
      <c r="J1" s="9" t="s">
        <v>24</v>
      </c>
      <c r="K1" s="4" t="s">
        <v>25</v>
      </c>
    </row>
    <row r="2" spans="1:11" x14ac:dyDescent="0.3">
      <c r="A2" s="3">
        <v>45296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</v>
      </c>
      <c r="G2" s="6">
        <v>3500</v>
      </c>
      <c r="H2" s="8">
        <f>F2*G2</f>
        <v>10500</v>
      </c>
      <c r="I2" s="8">
        <f>SUM(H2:H91)</f>
        <v>194350</v>
      </c>
      <c r="J2" s="1">
        <f>SUM(F2:F91)</f>
        <v>322</v>
      </c>
      <c r="K2" s="8">
        <f>I2/J2</f>
        <v>603.57142857142856</v>
      </c>
    </row>
    <row r="3" spans="1:11" x14ac:dyDescent="0.3">
      <c r="A3" s="3">
        <v>45298</v>
      </c>
      <c r="B3" s="2" t="s">
        <v>11</v>
      </c>
      <c r="C3" s="2" t="s">
        <v>12</v>
      </c>
      <c r="D3" s="2" t="s">
        <v>9</v>
      </c>
      <c r="E3" s="2" t="s">
        <v>13</v>
      </c>
      <c r="F3" s="2">
        <v>10</v>
      </c>
      <c r="G3" s="6">
        <v>80</v>
      </c>
      <c r="H3" s="8">
        <f t="shared" ref="H3:H66" si="0">F3*G3</f>
        <v>800</v>
      </c>
    </row>
    <row r="4" spans="1:11" x14ac:dyDescent="0.3">
      <c r="A4" s="3">
        <v>45299</v>
      </c>
      <c r="B4" s="2" t="s">
        <v>14</v>
      </c>
      <c r="C4" s="2" t="s">
        <v>15</v>
      </c>
      <c r="D4" s="2" t="s">
        <v>9</v>
      </c>
      <c r="E4" s="2" t="s">
        <v>16</v>
      </c>
      <c r="F4" s="2">
        <v>5</v>
      </c>
      <c r="G4" s="6">
        <v>150</v>
      </c>
      <c r="H4" s="8">
        <f t="shared" si="0"/>
        <v>750</v>
      </c>
    </row>
    <row r="5" spans="1:11" x14ac:dyDescent="0.3">
      <c r="A5" s="3">
        <v>45301</v>
      </c>
      <c r="B5" s="2" t="s">
        <v>7</v>
      </c>
      <c r="C5" s="2" t="s">
        <v>17</v>
      </c>
      <c r="D5" s="2" t="s">
        <v>9</v>
      </c>
      <c r="E5" s="2" t="s">
        <v>10</v>
      </c>
      <c r="F5" s="2">
        <v>2</v>
      </c>
      <c r="G5" s="6">
        <v>1200</v>
      </c>
      <c r="H5" s="8">
        <f t="shared" si="0"/>
        <v>2400</v>
      </c>
    </row>
    <row r="6" spans="1:11" x14ac:dyDescent="0.3">
      <c r="A6" s="3">
        <v>45303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1</v>
      </c>
      <c r="G6" s="6">
        <v>900</v>
      </c>
      <c r="H6" s="8">
        <f t="shared" si="0"/>
        <v>900</v>
      </c>
    </row>
    <row r="7" spans="1:11" x14ac:dyDescent="0.3">
      <c r="A7" s="3">
        <v>45306</v>
      </c>
      <c r="B7" s="2" t="s">
        <v>11</v>
      </c>
      <c r="C7" s="2" t="s">
        <v>8</v>
      </c>
      <c r="D7" s="2" t="s">
        <v>9</v>
      </c>
      <c r="E7" s="2" t="s">
        <v>13</v>
      </c>
      <c r="F7" s="2">
        <v>1</v>
      </c>
      <c r="G7" s="6">
        <v>3500</v>
      </c>
      <c r="H7" s="8">
        <f t="shared" si="0"/>
        <v>3500</v>
      </c>
    </row>
    <row r="8" spans="1:11" x14ac:dyDescent="0.3">
      <c r="A8" s="3">
        <v>45309</v>
      </c>
      <c r="B8" s="2" t="s">
        <v>14</v>
      </c>
      <c r="C8" s="2" t="s">
        <v>12</v>
      </c>
      <c r="D8" s="2" t="s">
        <v>9</v>
      </c>
      <c r="E8" s="2" t="s">
        <v>16</v>
      </c>
      <c r="F8" s="2">
        <v>8</v>
      </c>
      <c r="G8" s="6">
        <v>80</v>
      </c>
      <c r="H8" s="8">
        <f t="shared" si="0"/>
        <v>640</v>
      </c>
    </row>
    <row r="9" spans="1:11" x14ac:dyDescent="0.3">
      <c r="A9" s="3">
        <v>45311</v>
      </c>
      <c r="B9" s="2" t="s">
        <v>7</v>
      </c>
      <c r="C9" s="2" t="s">
        <v>15</v>
      </c>
      <c r="D9" s="2" t="s">
        <v>9</v>
      </c>
      <c r="E9" s="2" t="s">
        <v>10</v>
      </c>
      <c r="F9" s="2">
        <v>4</v>
      </c>
      <c r="G9" s="6">
        <v>150</v>
      </c>
      <c r="H9" s="8">
        <f t="shared" si="0"/>
        <v>600</v>
      </c>
    </row>
    <row r="10" spans="1:11" x14ac:dyDescent="0.3">
      <c r="A10" s="3">
        <v>45313</v>
      </c>
      <c r="B10" s="2" t="s">
        <v>18</v>
      </c>
      <c r="C10" s="2" t="s">
        <v>17</v>
      </c>
      <c r="D10" s="2" t="s">
        <v>9</v>
      </c>
      <c r="E10" s="2" t="s">
        <v>21</v>
      </c>
      <c r="F10" s="2">
        <v>2</v>
      </c>
      <c r="G10" s="6">
        <v>1200</v>
      </c>
      <c r="H10" s="8">
        <f t="shared" si="0"/>
        <v>2400</v>
      </c>
    </row>
    <row r="11" spans="1:11" x14ac:dyDescent="0.3">
      <c r="A11" s="3">
        <v>45316</v>
      </c>
      <c r="B11" s="2" t="s">
        <v>11</v>
      </c>
      <c r="C11" s="2" t="s">
        <v>19</v>
      </c>
      <c r="D11" s="2" t="s">
        <v>20</v>
      </c>
      <c r="E11" s="2" t="s">
        <v>13</v>
      </c>
      <c r="F11" s="2">
        <v>1</v>
      </c>
      <c r="G11" s="6">
        <v>900</v>
      </c>
      <c r="H11" s="8">
        <f t="shared" si="0"/>
        <v>900</v>
      </c>
    </row>
    <row r="12" spans="1:11" x14ac:dyDescent="0.3">
      <c r="A12" s="3">
        <v>45319</v>
      </c>
      <c r="B12" s="2" t="s">
        <v>7</v>
      </c>
      <c r="C12" s="2" t="s">
        <v>12</v>
      </c>
      <c r="D12" s="2" t="s">
        <v>9</v>
      </c>
      <c r="E12" s="2" t="s">
        <v>10</v>
      </c>
      <c r="F12" s="2">
        <v>6</v>
      </c>
      <c r="G12" s="6">
        <v>80</v>
      </c>
      <c r="H12" s="8">
        <f t="shared" si="0"/>
        <v>480</v>
      </c>
    </row>
    <row r="13" spans="1:11" x14ac:dyDescent="0.3">
      <c r="A13" s="3">
        <v>45321</v>
      </c>
      <c r="B13" s="2" t="s">
        <v>14</v>
      </c>
      <c r="C13" s="2" t="s">
        <v>8</v>
      </c>
      <c r="D13" s="2" t="s">
        <v>9</v>
      </c>
      <c r="E13" s="2" t="s">
        <v>16</v>
      </c>
      <c r="F13" s="2">
        <v>2</v>
      </c>
      <c r="G13" s="6">
        <v>3500</v>
      </c>
      <c r="H13" s="8">
        <f t="shared" si="0"/>
        <v>7000</v>
      </c>
    </row>
    <row r="14" spans="1:11" x14ac:dyDescent="0.3">
      <c r="A14" s="3">
        <v>45323</v>
      </c>
      <c r="B14" s="2" t="s">
        <v>11</v>
      </c>
      <c r="C14" s="2" t="s">
        <v>15</v>
      </c>
      <c r="D14" s="2" t="s">
        <v>9</v>
      </c>
      <c r="E14" s="2" t="s">
        <v>13</v>
      </c>
      <c r="F14" s="2">
        <v>7</v>
      </c>
      <c r="G14" s="6">
        <v>150</v>
      </c>
      <c r="H14" s="8">
        <f t="shared" si="0"/>
        <v>1050</v>
      </c>
    </row>
    <row r="15" spans="1:11" x14ac:dyDescent="0.3">
      <c r="A15" s="3">
        <v>45324</v>
      </c>
      <c r="B15" s="2" t="s">
        <v>18</v>
      </c>
      <c r="C15" s="2" t="s">
        <v>17</v>
      </c>
      <c r="D15" s="2" t="s">
        <v>9</v>
      </c>
      <c r="E15" s="2" t="s">
        <v>21</v>
      </c>
      <c r="F15" s="2">
        <v>1</v>
      </c>
      <c r="G15" s="6">
        <v>1200</v>
      </c>
      <c r="H15" s="8">
        <f t="shared" si="0"/>
        <v>1200</v>
      </c>
    </row>
    <row r="16" spans="1:11" x14ac:dyDescent="0.3">
      <c r="A16" s="3">
        <v>45325</v>
      </c>
      <c r="B16" s="2" t="s">
        <v>7</v>
      </c>
      <c r="C16" s="2" t="s">
        <v>19</v>
      </c>
      <c r="D16" s="2" t="s">
        <v>20</v>
      </c>
      <c r="E16" s="2" t="s">
        <v>10</v>
      </c>
      <c r="F16" s="2">
        <v>1</v>
      </c>
      <c r="G16" s="6">
        <v>900</v>
      </c>
      <c r="H16" s="8">
        <f t="shared" si="0"/>
        <v>900</v>
      </c>
    </row>
    <row r="17" spans="1:8" x14ac:dyDescent="0.3">
      <c r="A17" s="3">
        <v>45327</v>
      </c>
      <c r="B17" s="2" t="s">
        <v>14</v>
      </c>
      <c r="C17" s="2" t="s">
        <v>12</v>
      </c>
      <c r="D17" s="2" t="s">
        <v>9</v>
      </c>
      <c r="E17" s="2" t="s">
        <v>16</v>
      </c>
      <c r="F17" s="2">
        <v>9</v>
      </c>
      <c r="G17" s="6">
        <v>80</v>
      </c>
      <c r="H17" s="8">
        <f t="shared" si="0"/>
        <v>720</v>
      </c>
    </row>
    <row r="18" spans="1:8" x14ac:dyDescent="0.3">
      <c r="A18" s="3">
        <v>45329</v>
      </c>
      <c r="B18" s="2" t="s">
        <v>11</v>
      </c>
      <c r="C18" s="2" t="s">
        <v>8</v>
      </c>
      <c r="D18" s="2" t="s">
        <v>9</v>
      </c>
      <c r="E18" s="2" t="s">
        <v>13</v>
      </c>
      <c r="F18" s="2">
        <v>2</v>
      </c>
      <c r="G18" s="6">
        <v>3500</v>
      </c>
      <c r="H18" s="8">
        <f t="shared" si="0"/>
        <v>7000</v>
      </c>
    </row>
    <row r="19" spans="1:8" x14ac:dyDescent="0.3">
      <c r="A19" s="3">
        <v>45330</v>
      </c>
      <c r="B19" s="2" t="s">
        <v>7</v>
      </c>
      <c r="C19" s="2" t="s">
        <v>15</v>
      </c>
      <c r="D19" s="2" t="s">
        <v>9</v>
      </c>
      <c r="E19" s="2" t="s">
        <v>10</v>
      </c>
      <c r="F19" s="2">
        <v>3</v>
      </c>
      <c r="G19" s="6">
        <v>150</v>
      </c>
      <c r="H19" s="8">
        <f t="shared" si="0"/>
        <v>450</v>
      </c>
    </row>
    <row r="20" spans="1:8" x14ac:dyDescent="0.3">
      <c r="A20" s="3">
        <v>45332</v>
      </c>
      <c r="B20" s="2" t="s">
        <v>18</v>
      </c>
      <c r="C20" s="2" t="s">
        <v>17</v>
      </c>
      <c r="D20" s="2" t="s">
        <v>9</v>
      </c>
      <c r="E20" s="2" t="s">
        <v>21</v>
      </c>
      <c r="F20" s="2">
        <v>3</v>
      </c>
      <c r="G20" s="6">
        <v>1200</v>
      </c>
      <c r="H20" s="8">
        <f t="shared" si="0"/>
        <v>3600</v>
      </c>
    </row>
    <row r="21" spans="1:8" x14ac:dyDescent="0.3">
      <c r="A21" s="3">
        <v>45334</v>
      </c>
      <c r="B21" s="2" t="s">
        <v>14</v>
      </c>
      <c r="C21" s="2" t="s">
        <v>19</v>
      </c>
      <c r="D21" s="2" t="s">
        <v>20</v>
      </c>
      <c r="E21" s="2" t="s">
        <v>16</v>
      </c>
      <c r="F21" s="2">
        <v>1</v>
      </c>
      <c r="G21" s="6">
        <v>900</v>
      </c>
      <c r="H21" s="8">
        <f t="shared" si="0"/>
        <v>900</v>
      </c>
    </row>
    <row r="22" spans="1:8" x14ac:dyDescent="0.3">
      <c r="A22" s="3">
        <v>45336</v>
      </c>
      <c r="B22" s="2" t="s">
        <v>11</v>
      </c>
      <c r="C22" s="2" t="s">
        <v>12</v>
      </c>
      <c r="D22" s="2" t="s">
        <v>9</v>
      </c>
      <c r="E22" s="2" t="s">
        <v>13</v>
      </c>
      <c r="F22" s="2">
        <v>12</v>
      </c>
      <c r="G22" s="6">
        <v>80</v>
      </c>
      <c r="H22" s="8">
        <f t="shared" si="0"/>
        <v>960</v>
      </c>
    </row>
    <row r="23" spans="1:8" x14ac:dyDescent="0.3">
      <c r="A23" s="3">
        <v>45337</v>
      </c>
      <c r="B23" s="2" t="s">
        <v>7</v>
      </c>
      <c r="C23" s="2" t="s">
        <v>8</v>
      </c>
      <c r="D23" s="2" t="s">
        <v>9</v>
      </c>
      <c r="E23" s="2" t="s">
        <v>10</v>
      </c>
      <c r="F23" s="2">
        <v>1</v>
      </c>
      <c r="G23" s="6">
        <v>3500</v>
      </c>
      <c r="H23" s="8">
        <f t="shared" si="0"/>
        <v>3500</v>
      </c>
    </row>
    <row r="24" spans="1:8" x14ac:dyDescent="0.3">
      <c r="A24" s="3">
        <v>45339</v>
      </c>
      <c r="B24" s="2" t="s">
        <v>14</v>
      </c>
      <c r="C24" s="2" t="s">
        <v>15</v>
      </c>
      <c r="D24" s="2" t="s">
        <v>9</v>
      </c>
      <c r="E24" s="2" t="s">
        <v>16</v>
      </c>
      <c r="F24" s="2">
        <v>4</v>
      </c>
      <c r="G24" s="6">
        <v>150</v>
      </c>
      <c r="H24" s="8">
        <f t="shared" si="0"/>
        <v>600</v>
      </c>
    </row>
    <row r="25" spans="1:8" x14ac:dyDescent="0.3">
      <c r="A25" s="3">
        <v>45340</v>
      </c>
      <c r="B25" s="2" t="s">
        <v>11</v>
      </c>
      <c r="C25" s="2" t="s">
        <v>17</v>
      </c>
      <c r="D25" s="2" t="s">
        <v>9</v>
      </c>
      <c r="E25" s="2" t="s">
        <v>13</v>
      </c>
      <c r="F25" s="2">
        <v>2</v>
      </c>
      <c r="G25" s="6">
        <v>1200</v>
      </c>
      <c r="H25" s="8">
        <f t="shared" si="0"/>
        <v>2400</v>
      </c>
    </row>
    <row r="26" spans="1:8" x14ac:dyDescent="0.3">
      <c r="A26" s="3">
        <v>45342</v>
      </c>
      <c r="B26" s="2" t="s">
        <v>18</v>
      </c>
      <c r="C26" s="2" t="s">
        <v>19</v>
      </c>
      <c r="D26" s="2" t="s">
        <v>20</v>
      </c>
      <c r="E26" s="2" t="s">
        <v>21</v>
      </c>
      <c r="F26" s="2">
        <v>2</v>
      </c>
      <c r="G26" s="6">
        <v>900</v>
      </c>
      <c r="H26" s="8">
        <f t="shared" si="0"/>
        <v>1800</v>
      </c>
    </row>
    <row r="27" spans="1:8" x14ac:dyDescent="0.3">
      <c r="A27" s="3">
        <v>45344</v>
      </c>
      <c r="B27" s="2" t="s">
        <v>7</v>
      </c>
      <c r="C27" s="2" t="s">
        <v>12</v>
      </c>
      <c r="D27" s="2" t="s">
        <v>9</v>
      </c>
      <c r="E27" s="2" t="s">
        <v>10</v>
      </c>
      <c r="F27" s="2">
        <v>7</v>
      </c>
      <c r="G27" s="6">
        <v>80</v>
      </c>
      <c r="H27" s="8">
        <f t="shared" si="0"/>
        <v>560</v>
      </c>
    </row>
    <row r="28" spans="1:8" x14ac:dyDescent="0.3">
      <c r="A28" s="3">
        <v>45346</v>
      </c>
      <c r="B28" s="2" t="s">
        <v>14</v>
      </c>
      <c r="C28" s="2" t="s">
        <v>8</v>
      </c>
      <c r="D28" s="2" t="s">
        <v>9</v>
      </c>
      <c r="E28" s="2" t="s">
        <v>16</v>
      </c>
      <c r="F28" s="2">
        <v>1</v>
      </c>
      <c r="G28" s="6">
        <v>3500</v>
      </c>
      <c r="H28" s="8">
        <f t="shared" si="0"/>
        <v>3500</v>
      </c>
    </row>
    <row r="29" spans="1:8" x14ac:dyDescent="0.3">
      <c r="A29" s="3">
        <v>45347</v>
      </c>
      <c r="B29" s="2" t="s">
        <v>11</v>
      </c>
      <c r="C29" s="2" t="s">
        <v>15</v>
      </c>
      <c r="D29" s="2" t="s">
        <v>9</v>
      </c>
      <c r="E29" s="2" t="s">
        <v>13</v>
      </c>
      <c r="F29" s="2">
        <v>6</v>
      </c>
      <c r="G29" s="6">
        <v>150</v>
      </c>
      <c r="H29" s="8">
        <f t="shared" si="0"/>
        <v>900</v>
      </c>
    </row>
    <row r="30" spans="1:8" x14ac:dyDescent="0.3">
      <c r="A30" s="3">
        <v>45348</v>
      </c>
      <c r="B30" s="2" t="s">
        <v>7</v>
      </c>
      <c r="C30" s="2" t="s">
        <v>17</v>
      </c>
      <c r="D30" s="2" t="s">
        <v>9</v>
      </c>
      <c r="E30" s="2" t="s">
        <v>10</v>
      </c>
      <c r="F30" s="2">
        <v>1</v>
      </c>
      <c r="G30" s="6">
        <v>1200</v>
      </c>
      <c r="H30" s="8">
        <f t="shared" si="0"/>
        <v>1200</v>
      </c>
    </row>
    <row r="31" spans="1:8" x14ac:dyDescent="0.3">
      <c r="A31" s="3">
        <v>45349</v>
      </c>
      <c r="B31" s="2" t="s">
        <v>18</v>
      </c>
      <c r="C31" s="2" t="s">
        <v>19</v>
      </c>
      <c r="D31" s="2" t="s">
        <v>20</v>
      </c>
      <c r="E31" s="2" t="s">
        <v>21</v>
      </c>
      <c r="F31" s="2">
        <v>1</v>
      </c>
      <c r="G31" s="6">
        <v>900</v>
      </c>
      <c r="H31" s="8">
        <f t="shared" si="0"/>
        <v>900</v>
      </c>
    </row>
    <row r="32" spans="1:8" x14ac:dyDescent="0.3">
      <c r="A32" s="3">
        <v>45352</v>
      </c>
      <c r="B32" s="2" t="s">
        <v>7</v>
      </c>
      <c r="C32" s="2" t="s">
        <v>8</v>
      </c>
      <c r="D32" s="2" t="s">
        <v>9</v>
      </c>
      <c r="E32" s="2" t="s">
        <v>10</v>
      </c>
      <c r="F32" s="2">
        <v>2</v>
      </c>
      <c r="G32" s="6">
        <v>3500</v>
      </c>
      <c r="H32" s="8">
        <f t="shared" si="0"/>
        <v>7000</v>
      </c>
    </row>
    <row r="33" spans="1:8" x14ac:dyDescent="0.3">
      <c r="A33" s="3">
        <v>45353</v>
      </c>
      <c r="B33" s="2" t="s">
        <v>11</v>
      </c>
      <c r="C33" s="2" t="s">
        <v>12</v>
      </c>
      <c r="D33" s="2" t="s">
        <v>9</v>
      </c>
      <c r="E33" s="2" t="s">
        <v>13</v>
      </c>
      <c r="F33" s="2">
        <v>9</v>
      </c>
      <c r="G33" s="6">
        <v>80</v>
      </c>
      <c r="H33" s="8">
        <f t="shared" si="0"/>
        <v>720</v>
      </c>
    </row>
    <row r="34" spans="1:8" x14ac:dyDescent="0.3">
      <c r="A34" s="3">
        <v>45354</v>
      </c>
      <c r="B34" s="2" t="s">
        <v>14</v>
      </c>
      <c r="C34" s="2" t="s">
        <v>15</v>
      </c>
      <c r="D34" s="2" t="s">
        <v>9</v>
      </c>
      <c r="E34" s="2" t="s">
        <v>16</v>
      </c>
      <c r="F34" s="2">
        <v>5</v>
      </c>
      <c r="G34" s="6">
        <v>150</v>
      </c>
      <c r="H34" s="8">
        <f t="shared" si="0"/>
        <v>750</v>
      </c>
    </row>
    <row r="35" spans="1:8" x14ac:dyDescent="0.3">
      <c r="A35" s="3">
        <v>45355</v>
      </c>
      <c r="B35" s="2" t="s">
        <v>7</v>
      </c>
      <c r="C35" s="2" t="s">
        <v>17</v>
      </c>
      <c r="D35" s="2" t="s">
        <v>9</v>
      </c>
      <c r="E35" s="2" t="s">
        <v>10</v>
      </c>
      <c r="F35" s="2">
        <v>2</v>
      </c>
      <c r="G35" s="6">
        <v>1200</v>
      </c>
      <c r="H35" s="8">
        <f t="shared" si="0"/>
        <v>2400</v>
      </c>
    </row>
    <row r="36" spans="1:8" x14ac:dyDescent="0.3">
      <c r="A36" s="3">
        <v>45356</v>
      </c>
      <c r="B36" s="2" t="s">
        <v>18</v>
      </c>
      <c r="C36" s="2" t="s">
        <v>19</v>
      </c>
      <c r="D36" s="2" t="s">
        <v>20</v>
      </c>
      <c r="E36" s="2" t="s">
        <v>21</v>
      </c>
      <c r="F36" s="2">
        <v>1</v>
      </c>
      <c r="G36" s="6">
        <v>900</v>
      </c>
      <c r="H36" s="8">
        <f t="shared" si="0"/>
        <v>900</v>
      </c>
    </row>
    <row r="37" spans="1:8" x14ac:dyDescent="0.3">
      <c r="A37" s="3">
        <v>45357</v>
      </c>
      <c r="B37" s="2" t="s">
        <v>11</v>
      </c>
      <c r="C37" s="2" t="s">
        <v>8</v>
      </c>
      <c r="D37" s="2" t="s">
        <v>9</v>
      </c>
      <c r="E37" s="2" t="s">
        <v>13</v>
      </c>
      <c r="F37" s="2">
        <v>1</v>
      </c>
      <c r="G37" s="6">
        <v>3500</v>
      </c>
      <c r="H37" s="8">
        <f t="shared" si="0"/>
        <v>3500</v>
      </c>
    </row>
    <row r="38" spans="1:8" x14ac:dyDescent="0.3">
      <c r="A38" s="3">
        <v>45358</v>
      </c>
      <c r="B38" s="2" t="s">
        <v>14</v>
      </c>
      <c r="C38" s="2" t="s">
        <v>12</v>
      </c>
      <c r="D38" s="2" t="s">
        <v>9</v>
      </c>
      <c r="E38" s="2" t="s">
        <v>16</v>
      </c>
      <c r="F38" s="2">
        <v>7</v>
      </c>
      <c r="G38" s="6">
        <v>80</v>
      </c>
      <c r="H38" s="8">
        <f t="shared" si="0"/>
        <v>560</v>
      </c>
    </row>
    <row r="39" spans="1:8" x14ac:dyDescent="0.3">
      <c r="A39" s="3">
        <v>45359</v>
      </c>
      <c r="B39" s="2" t="s">
        <v>7</v>
      </c>
      <c r="C39" s="2" t="s">
        <v>15</v>
      </c>
      <c r="D39" s="2" t="s">
        <v>9</v>
      </c>
      <c r="E39" s="2" t="s">
        <v>10</v>
      </c>
      <c r="F39" s="2">
        <v>4</v>
      </c>
      <c r="G39" s="6">
        <v>150</v>
      </c>
      <c r="H39" s="8">
        <f t="shared" si="0"/>
        <v>600</v>
      </c>
    </row>
    <row r="40" spans="1:8" x14ac:dyDescent="0.3">
      <c r="A40" s="3">
        <v>45360</v>
      </c>
      <c r="B40" s="2" t="s">
        <v>18</v>
      </c>
      <c r="C40" s="2" t="s">
        <v>17</v>
      </c>
      <c r="D40" s="2" t="s">
        <v>9</v>
      </c>
      <c r="E40" s="2" t="s">
        <v>21</v>
      </c>
      <c r="F40" s="2">
        <v>2</v>
      </c>
      <c r="G40" s="6">
        <v>1200</v>
      </c>
      <c r="H40" s="8">
        <f t="shared" si="0"/>
        <v>2400</v>
      </c>
    </row>
    <row r="41" spans="1:8" x14ac:dyDescent="0.3">
      <c r="A41" s="3">
        <v>45361</v>
      </c>
      <c r="B41" s="2" t="s">
        <v>11</v>
      </c>
      <c r="C41" s="2" t="s">
        <v>19</v>
      </c>
      <c r="D41" s="2" t="s">
        <v>20</v>
      </c>
      <c r="E41" s="2" t="s">
        <v>13</v>
      </c>
      <c r="F41" s="2">
        <v>1</v>
      </c>
      <c r="G41" s="6">
        <v>900</v>
      </c>
      <c r="H41" s="8">
        <f t="shared" si="0"/>
        <v>900</v>
      </c>
    </row>
    <row r="42" spans="1:8" x14ac:dyDescent="0.3">
      <c r="A42" s="3">
        <v>45362</v>
      </c>
      <c r="B42" s="2" t="s">
        <v>7</v>
      </c>
      <c r="C42" s="2" t="s">
        <v>12</v>
      </c>
      <c r="D42" s="2" t="s">
        <v>9</v>
      </c>
      <c r="E42" s="2" t="s">
        <v>10</v>
      </c>
      <c r="F42" s="2">
        <v>5</v>
      </c>
      <c r="G42" s="6">
        <v>80</v>
      </c>
      <c r="H42" s="8">
        <f t="shared" si="0"/>
        <v>400</v>
      </c>
    </row>
    <row r="43" spans="1:8" x14ac:dyDescent="0.3">
      <c r="A43" s="3">
        <v>45363</v>
      </c>
      <c r="B43" s="2" t="s">
        <v>14</v>
      </c>
      <c r="C43" s="2" t="s">
        <v>8</v>
      </c>
      <c r="D43" s="2" t="s">
        <v>9</v>
      </c>
      <c r="E43" s="2" t="s">
        <v>16</v>
      </c>
      <c r="F43" s="2">
        <v>2</v>
      </c>
      <c r="G43" s="6">
        <v>3500</v>
      </c>
      <c r="H43" s="8">
        <f t="shared" si="0"/>
        <v>7000</v>
      </c>
    </row>
    <row r="44" spans="1:8" x14ac:dyDescent="0.3">
      <c r="A44" s="3">
        <v>45364</v>
      </c>
      <c r="B44" s="2" t="s">
        <v>11</v>
      </c>
      <c r="C44" s="2" t="s">
        <v>15</v>
      </c>
      <c r="D44" s="2" t="s">
        <v>9</v>
      </c>
      <c r="E44" s="2" t="s">
        <v>13</v>
      </c>
      <c r="F44" s="2">
        <v>6</v>
      </c>
      <c r="G44" s="6">
        <v>150</v>
      </c>
      <c r="H44" s="8">
        <f t="shared" si="0"/>
        <v>900</v>
      </c>
    </row>
    <row r="45" spans="1:8" x14ac:dyDescent="0.3">
      <c r="A45" s="3">
        <v>45365</v>
      </c>
      <c r="B45" s="2" t="s">
        <v>7</v>
      </c>
      <c r="C45" s="2" t="s">
        <v>17</v>
      </c>
      <c r="D45" s="2" t="s">
        <v>9</v>
      </c>
      <c r="E45" s="2" t="s">
        <v>10</v>
      </c>
      <c r="F45" s="2">
        <v>1</v>
      </c>
      <c r="G45" s="6">
        <v>1200</v>
      </c>
      <c r="H45" s="8">
        <f t="shared" si="0"/>
        <v>1200</v>
      </c>
    </row>
    <row r="46" spans="1:8" x14ac:dyDescent="0.3">
      <c r="A46" s="3">
        <v>45366</v>
      </c>
      <c r="B46" s="2" t="s">
        <v>18</v>
      </c>
      <c r="C46" s="2" t="s">
        <v>19</v>
      </c>
      <c r="D46" s="2" t="s">
        <v>20</v>
      </c>
      <c r="E46" s="2" t="s">
        <v>21</v>
      </c>
      <c r="F46" s="2">
        <v>2</v>
      </c>
      <c r="G46" s="6">
        <v>900</v>
      </c>
      <c r="H46" s="8">
        <f t="shared" si="0"/>
        <v>1800</v>
      </c>
    </row>
    <row r="47" spans="1:8" x14ac:dyDescent="0.3">
      <c r="A47" s="3">
        <v>45367</v>
      </c>
      <c r="B47" s="2" t="s">
        <v>7</v>
      </c>
      <c r="C47" s="2" t="s">
        <v>8</v>
      </c>
      <c r="D47" s="2" t="s">
        <v>9</v>
      </c>
      <c r="E47" s="2" t="s">
        <v>10</v>
      </c>
      <c r="F47" s="2">
        <v>3</v>
      </c>
      <c r="G47" s="6">
        <v>3500</v>
      </c>
      <c r="H47" s="8">
        <f t="shared" si="0"/>
        <v>10500</v>
      </c>
    </row>
    <row r="48" spans="1:8" x14ac:dyDescent="0.3">
      <c r="A48" s="3">
        <v>45368</v>
      </c>
      <c r="B48" s="2" t="s">
        <v>11</v>
      </c>
      <c r="C48" s="2" t="s">
        <v>12</v>
      </c>
      <c r="D48" s="2" t="s">
        <v>9</v>
      </c>
      <c r="E48" s="2" t="s">
        <v>13</v>
      </c>
      <c r="F48" s="2">
        <v>11</v>
      </c>
      <c r="G48" s="6">
        <v>80</v>
      </c>
      <c r="H48" s="8">
        <f t="shared" si="0"/>
        <v>880</v>
      </c>
    </row>
    <row r="49" spans="1:8" x14ac:dyDescent="0.3">
      <c r="A49" s="3">
        <v>45369</v>
      </c>
      <c r="B49" s="2" t="s">
        <v>14</v>
      </c>
      <c r="C49" s="2" t="s">
        <v>15</v>
      </c>
      <c r="D49" s="2" t="s">
        <v>9</v>
      </c>
      <c r="E49" s="2" t="s">
        <v>16</v>
      </c>
      <c r="F49" s="2">
        <v>4</v>
      </c>
      <c r="G49" s="6">
        <v>150</v>
      </c>
      <c r="H49" s="8">
        <f t="shared" si="0"/>
        <v>600</v>
      </c>
    </row>
    <row r="50" spans="1:8" x14ac:dyDescent="0.3">
      <c r="A50" s="3">
        <v>45370</v>
      </c>
      <c r="B50" s="2" t="s">
        <v>7</v>
      </c>
      <c r="C50" s="2" t="s">
        <v>17</v>
      </c>
      <c r="D50" s="2" t="s">
        <v>9</v>
      </c>
      <c r="E50" s="2" t="s">
        <v>10</v>
      </c>
      <c r="F50" s="2">
        <v>2</v>
      </c>
      <c r="G50" s="6">
        <v>1200</v>
      </c>
      <c r="H50" s="8">
        <f t="shared" si="0"/>
        <v>2400</v>
      </c>
    </row>
    <row r="51" spans="1:8" x14ac:dyDescent="0.3">
      <c r="A51" s="3">
        <v>45371</v>
      </c>
      <c r="B51" s="2" t="s">
        <v>18</v>
      </c>
      <c r="C51" s="2" t="s">
        <v>19</v>
      </c>
      <c r="D51" s="2" t="s">
        <v>20</v>
      </c>
      <c r="E51" s="2" t="s">
        <v>21</v>
      </c>
      <c r="F51" s="2">
        <v>1</v>
      </c>
      <c r="G51" s="6">
        <v>900</v>
      </c>
      <c r="H51" s="8">
        <f t="shared" si="0"/>
        <v>900</v>
      </c>
    </row>
    <row r="52" spans="1:8" x14ac:dyDescent="0.3">
      <c r="A52" s="3">
        <v>45372</v>
      </c>
      <c r="B52" s="2" t="s">
        <v>11</v>
      </c>
      <c r="C52" s="2" t="s">
        <v>8</v>
      </c>
      <c r="D52" s="2" t="s">
        <v>9</v>
      </c>
      <c r="E52" s="2" t="s">
        <v>13</v>
      </c>
      <c r="F52" s="2">
        <v>1</v>
      </c>
      <c r="G52" s="6">
        <v>3500</v>
      </c>
      <c r="H52" s="8">
        <f t="shared" si="0"/>
        <v>3500</v>
      </c>
    </row>
    <row r="53" spans="1:8" x14ac:dyDescent="0.3">
      <c r="A53" s="3">
        <v>45373</v>
      </c>
      <c r="B53" s="2" t="s">
        <v>14</v>
      </c>
      <c r="C53" s="2" t="s">
        <v>12</v>
      </c>
      <c r="D53" s="2" t="s">
        <v>9</v>
      </c>
      <c r="E53" s="2" t="s">
        <v>16</v>
      </c>
      <c r="F53" s="2">
        <v>8</v>
      </c>
      <c r="G53" s="6">
        <v>80</v>
      </c>
      <c r="H53" s="8">
        <f t="shared" si="0"/>
        <v>640</v>
      </c>
    </row>
    <row r="54" spans="1:8" x14ac:dyDescent="0.3">
      <c r="A54" s="3">
        <v>45374</v>
      </c>
      <c r="B54" s="2" t="s">
        <v>7</v>
      </c>
      <c r="C54" s="2" t="s">
        <v>15</v>
      </c>
      <c r="D54" s="2" t="s">
        <v>9</v>
      </c>
      <c r="E54" s="2" t="s">
        <v>10</v>
      </c>
      <c r="F54" s="2">
        <v>3</v>
      </c>
      <c r="G54" s="6">
        <v>150</v>
      </c>
      <c r="H54" s="8">
        <f t="shared" si="0"/>
        <v>450</v>
      </c>
    </row>
    <row r="55" spans="1:8" x14ac:dyDescent="0.3">
      <c r="A55" s="3">
        <v>45375</v>
      </c>
      <c r="B55" s="2" t="s">
        <v>18</v>
      </c>
      <c r="C55" s="2" t="s">
        <v>17</v>
      </c>
      <c r="D55" s="2" t="s">
        <v>9</v>
      </c>
      <c r="E55" s="2" t="s">
        <v>21</v>
      </c>
      <c r="F55" s="2">
        <v>2</v>
      </c>
      <c r="G55" s="6">
        <v>1200</v>
      </c>
      <c r="H55" s="8">
        <f t="shared" si="0"/>
        <v>2400</v>
      </c>
    </row>
    <row r="56" spans="1:8" x14ac:dyDescent="0.3">
      <c r="A56" s="3">
        <v>45376</v>
      </c>
      <c r="B56" s="2" t="s">
        <v>11</v>
      </c>
      <c r="C56" s="2" t="s">
        <v>19</v>
      </c>
      <c r="D56" s="2" t="s">
        <v>20</v>
      </c>
      <c r="E56" s="2" t="s">
        <v>13</v>
      </c>
      <c r="F56" s="2">
        <v>1</v>
      </c>
      <c r="G56" s="6">
        <v>900</v>
      </c>
      <c r="H56" s="8">
        <f t="shared" si="0"/>
        <v>900</v>
      </c>
    </row>
    <row r="57" spans="1:8" x14ac:dyDescent="0.3">
      <c r="A57" s="3">
        <v>45377</v>
      </c>
      <c r="B57" s="2" t="s">
        <v>7</v>
      </c>
      <c r="C57" s="2" t="s">
        <v>12</v>
      </c>
      <c r="D57" s="2" t="s">
        <v>9</v>
      </c>
      <c r="E57" s="2" t="s">
        <v>10</v>
      </c>
      <c r="F57" s="2">
        <v>6</v>
      </c>
      <c r="G57" s="6">
        <v>80</v>
      </c>
      <c r="H57" s="8">
        <f t="shared" si="0"/>
        <v>480</v>
      </c>
    </row>
    <row r="58" spans="1:8" x14ac:dyDescent="0.3">
      <c r="A58" s="3">
        <v>45378</v>
      </c>
      <c r="B58" s="2" t="s">
        <v>14</v>
      </c>
      <c r="C58" s="2" t="s">
        <v>8</v>
      </c>
      <c r="D58" s="2" t="s">
        <v>9</v>
      </c>
      <c r="E58" s="2" t="s">
        <v>16</v>
      </c>
      <c r="F58" s="2">
        <v>2</v>
      </c>
      <c r="G58" s="6">
        <v>3500</v>
      </c>
      <c r="H58" s="8">
        <f t="shared" si="0"/>
        <v>7000</v>
      </c>
    </row>
    <row r="59" spans="1:8" x14ac:dyDescent="0.3">
      <c r="A59" s="3">
        <v>45379</v>
      </c>
      <c r="B59" s="2" t="s">
        <v>11</v>
      </c>
      <c r="C59" s="2" t="s">
        <v>15</v>
      </c>
      <c r="D59" s="2" t="s">
        <v>9</v>
      </c>
      <c r="E59" s="2" t="s">
        <v>13</v>
      </c>
      <c r="F59" s="2">
        <v>7</v>
      </c>
      <c r="G59" s="6">
        <v>150</v>
      </c>
      <c r="H59" s="8">
        <f t="shared" si="0"/>
        <v>1050</v>
      </c>
    </row>
    <row r="60" spans="1:8" x14ac:dyDescent="0.3">
      <c r="A60" s="3">
        <v>45380</v>
      </c>
      <c r="B60" s="2" t="s">
        <v>7</v>
      </c>
      <c r="C60" s="2" t="s">
        <v>17</v>
      </c>
      <c r="D60" s="2" t="s">
        <v>9</v>
      </c>
      <c r="E60" s="2" t="s">
        <v>10</v>
      </c>
      <c r="F60" s="2">
        <v>1</v>
      </c>
      <c r="G60" s="6">
        <v>1200</v>
      </c>
      <c r="H60" s="8">
        <f t="shared" si="0"/>
        <v>1200</v>
      </c>
    </row>
    <row r="61" spans="1:8" x14ac:dyDescent="0.3">
      <c r="A61" s="3">
        <v>45381</v>
      </c>
      <c r="B61" s="2" t="s">
        <v>18</v>
      </c>
      <c r="C61" s="2" t="s">
        <v>19</v>
      </c>
      <c r="D61" s="2" t="s">
        <v>20</v>
      </c>
      <c r="E61" s="2" t="s">
        <v>21</v>
      </c>
      <c r="F61" s="2">
        <v>1</v>
      </c>
      <c r="G61" s="6">
        <v>900</v>
      </c>
      <c r="H61" s="8">
        <f t="shared" si="0"/>
        <v>900</v>
      </c>
    </row>
    <row r="62" spans="1:8" x14ac:dyDescent="0.3">
      <c r="A62" s="3">
        <v>45383</v>
      </c>
      <c r="B62" s="2" t="s">
        <v>7</v>
      </c>
      <c r="C62" s="2" t="s">
        <v>8</v>
      </c>
      <c r="D62" s="2" t="s">
        <v>9</v>
      </c>
      <c r="E62" s="2" t="s">
        <v>10</v>
      </c>
      <c r="F62" s="2">
        <v>2</v>
      </c>
      <c r="G62" s="6">
        <v>3500</v>
      </c>
      <c r="H62" s="8">
        <f t="shared" si="0"/>
        <v>7000</v>
      </c>
    </row>
    <row r="63" spans="1:8" x14ac:dyDescent="0.3">
      <c r="A63" s="3">
        <v>45384</v>
      </c>
      <c r="B63" s="2" t="s">
        <v>11</v>
      </c>
      <c r="C63" s="2" t="s">
        <v>12</v>
      </c>
      <c r="D63" s="2" t="s">
        <v>9</v>
      </c>
      <c r="E63" s="2" t="s">
        <v>13</v>
      </c>
      <c r="F63" s="2">
        <v>10</v>
      </c>
      <c r="G63" s="6">
        <v>80</v>
      </c>
      <c r="H63" s="8">
        <f t="shared" si="0"/>
        <v>800</v>
      </c>
    </row>
    <row r="64" spans="1:8" x14ac:dyDescent="0.3">
      <c r="A64" s="3">
        <v>45385</v>
      </c>
      <c r="B64" s="2" t="s">
        <v>14</v>
      </c>
      <c r="C64" s="2" t="s">
        <v>15</v>
      </c>
      <c r="D64" s="2" t="s">
        <v>9</v>
      </c>
      <c r="E64" s="2" t="s">
        <v>16</v>
      </c>
      <c r="F64" s="2">
        <v>5</v>
      </c>
      <c r="G64" s="6">
        <v>150</v>
      </c>
      <c r="H64" s="8">
        <f t="shared" si="0"/>
        <v>750</v>
      </c>
    </row>
    <row r="65" spans="1:8" x14ac:dyDescent="0.3">
      <c r="A65" s="3">
        <v>45386</v>
      </c>
      <c r="B65" s="2" t="s">
        <v>7</v>
      </c>
      <c r="C65" s="2" t="s">
        <v>17</v>
      </c>
      <c r="D65" s="2" t="s">
        <v>9</v>
      </c>
      <c r="E65" s="2" t="s">
        <v>10</v>
      </c>
      <c r="F65" s="2">
        <v>3</v>
      </c>
      <c r="G65" s="6">
        <v>1200</v>
      </c>
      <c r="H65" s="8">
        <f t="shared" si="0"/>
        <v>3600</v>
      </c>
    </row>
    <row r="66" spans="1:8" x14ac:dyDescent="0.3">
      <c r="A66" s="3">
        <v>45387</v>
      </c>
      <c r="B66" s="2" t="s">
        <v>18</v>
      </c>
      <c r="C66" s="2" t="s">
        <v>19</v>
      </c>
      <c r="D66" s="2" t="s">
        <v>20</v>
      </c>
      <c r="E66" s="2" t="s">
        <v>21</v>
      </c>
      <c r="F66" s="2">
        <v>1</v>
      </c>
      <c r="G66" s="6">
        <v>900</v>
      </c>
      <c r="H66" s="8">
        <f t="shared" si="0"/>
        <v>900</v>
      </c>
    </row>
    <row r="67" spans="1:8" x14ac:dyDescent="0.3">
      <c r="A67" s="3">
        <v>45388</v>
      </c>
      <c r="B67" s="2" t="s">
        <v>11</v>
      </c>
      <c r="C67" s="2" t="s">
        <v>8</v>
      </c>
      <c r="D67" s="2" t="s">
        <v>9</v>
      </c>
      <c r="E67" s="2" t="s">
        <v>13</v>
      </c>
      <c r="F67" s="2">
        <v>1</v>
      </c>
      <c r="G67" s="6">
        <v>3500</v>
      </c>
      <c r="H67" s="8">
        <f t="shared" ref="H67:H91" si="1">F67*G67</f>
        <v>3500</v>
      </c>
    </row>
    <row r="68" spans="1:8" x14ac:dyDescent="0.3">
      <c r="A68" s="3">
        <v>45389</v>
      </c>
      <c r="B68" s="2" t="s">
        <v>14</v>
      </c>
      <c r="C68" s="2" t="s">
        <v>12</v>
      </c>
      <c r="D68" s="2" t="s">
        <v>9</v>
      </c>
      <c r="E68" s="2" t="s">
        <v>16</v>
      </c>
      <c r="F68" s="2">
        <v>9</v>
      </c>
      <c r="G68" s="6">
        <v>80</v>
      </c>
      <c r="H68" s="8">
        <f t="shared" si="1"/>
        <v>720</v>
      </c>
    </row>
    <row r="69" spans="1:8" x14ac:dyDescent="0.3">
      <c r="A69" s="3">
        <v>45390</v>
      </c>
      <c r="B69" s="2" t="s">
        <v>7</v>
      </c>
      <c r="C69" s="2" t="s">
        <v>15</v>
      </c>
      <c r="D69" s="2" t="s">
        <v>9</v>
      </c>
      <c r="E69" s="2" t="s">
        <v>10</v>
      </c>
      <c r="F69" s="2">
        <v>4</v>
      </c>
      <c r="G69" s="6">
        <v>150</v>
      </c>
      <c r="H69" s="8">
        <f t="shared" si="1"/>
        <v>600</v>
      </c>
    </row>
    <row r="70" spans="1:8" x14ac:dyDescent="0.3">
      <c r="A70" s="3">
        <v>45391</v>
      </c>
      <c r="B70" s="2" t="s">
        <v>18</v>
      </c>
      <c r="C70" s="2" t="s">
        <v>17</v>
      </c>
      <c r="D70" s="2" t="s">
        <v>9</v>
      </c>
      <c r="E70" s="2" t="s">
        <v>21</v>
      </c>
      <c r="F70" s="2">
        <v>2</v>
      </c>
      <c r="G70" s="6">
        <v>1200</v>
      </c>
      <c r="H70" s="8">
        <f t="shared" si="1"/>
        <v>2400</v>
      </c>
    </row>
    <row r="71" spans="1:8" x14ac:dyDescent="0.3">
      <c r="A71" s="3">
        <v>45392</v>
      </c>
      <c r="B71" s="2" t="s">
        <v>11</v>
      </c>
      <c r="C71" s="2" t="s">
        <v>19</v>
      </c>
      <c r="D71" s="2" t="s">
        <v>20</v>
      </c>
      <c r="E71" s="2" t="s">
        <v>13</v>
      </c>
      <c r="F71" s="2">
        <v>1</v>
      </c>
      <c r="G71" s="6">
        <v>900</v>
      </c>
      <c r="H71" s="8">
        <f t="shared" si="1"/>
        <v>900</v>
      </c>
    </row>
    <row r="72" spans="1:8" x14ac:dyDescent="0.3">
      <c r="A72" s="3">
        <v>45393</v>
      </c>
      <c r="B72" s="2" t="s">
        <v>7</v>
      </c>
      <c r="C72" s="2" t="s">
        <v>12</v>
      </c>
      <c r="D72" s="2" t="s">
        <v>9</v>
      </c>
      <c r="E72" s="2" t="s">
        <v>10</v>
      </c>
      <c r="F72" s="2">
        <v>7</v>
      </c>
      <c r="G72" s="6">
        <v>80</v>
      </c>
      <c r="H72" s="8">
        <f t="shared" si="1"/>
        <v>560</v>
      </c>
    </row>
    <row r="73" spans="1:8" x14ac:dyDescent="0.3">
      <c r="A73" s="3">
        <v>45394</v>
      </c>
      <c r="B73" s="2" t="s">
        <v>14</v>
      </c>
      <c r="C73" s="2" t="s">
        <v>8</v>
      </c>
      <c r="D73" s="2" t="s">
        <v>9</v>
      </c>
      <c r="E73" s="2" t="s">
        <v>16</v>
      </c>
      <c r="F73" s="2">
        <v>2</v>
      </c>
      <c r="G73" s="6">
        <v>3500</v>
      </c>
      <c r="H73" s="8">
        <f t="shared" si="1"/>
        <v>7000</v>
      </c>
    </row>
    <row r="74" spans="1:8" x14ac:dyDescent="0.3">
      <c r="A74" s="3">
        <v>45395</v>
      </c>
      <c r="B74" s="2" t="s">
        <v>11</v>
      </c>
      <c r="C74" s="2" t="s">
        <v>15</v>
      </c>
      <c r="D74" s="2" t="s">
        <v>9</v>
      </c>
      <c r="E74" s="2" t="s">
        <v>13</v>
      </c>
      <c r="F74" s="2">
        <v>6</v>
      </c>
      <c r="G74" s="6">
        <v>150</v>
      </c>
      <c r="H74" s="8">
        <f t="shared" si="1"/>
        <v>900</v>
      </c>
    </row>
    <row r="75" spans="1:8" x14ac:dyDescent="0.3">
      <c r="A75" s="3">
        <v>45396</v>
      </c>
      <c r="B75" s="2" t="s">
        <v>7</v>
      </c>
      <c r="C75" s="2" t="s">
        <v>17</v>
      </c>
      <c r="D75" s="2" t="s">
        <v>9</v>
      </c>
      <c r="E75" s="2" t="s">
        <v>10</v>
      </c>
      <c r="F75" s="2">
        <v>1</v>
      </c>
      <c r="G75" s="6">
        <v>1200</v>
      </c>
      <c r="H75" s="8">
        <f t="shared" si="1"/>
        <v>1200</v>
      </c>
    </row>
    <row r="76" spans="1:8" x14ac:dyDescent="0.3">
      <c r="A76" s="3">
        <v>45397</v>
      </c>
      <c r="B76" s="2" t="s">
        <v>18</v>
      </c>
      <c r="C76" s="2" t="s">
        <v>19</v>
      </c>
      <c r="D76" s="2" t="s">
        <v>20</v>
      </c>
      <c r="E76" s="2" t="s">
        <v>21</v>
      </c>
      <c r="F76" s="2">
        <v>2</v>
      </c>
      <c r="G76" s="6">
        <v>900</v>
      </c>
      <c r="H76" s="8">
        <f t="shared" si="1"/>
        <v>1800</v>
      </c>
    </row>
    <row r="77" spans="1:8" x14ac:dyDescent="0.3">
      <c r="A77" s="3">
        <v>45398</v>
      </c>
      <c r="B77" s="2" t="s">
        <v>7</v>
      </c>
      <c r="C77" s="2" t="s">
        <v>8</v>
      </c>
      <c r="D77" s="2" t="s">
        <v>9</v>
      </c>
      <c r="E77" s="2" t="s">
        <v>10</v>
      </c>
      <c r="F77" s="2">
        <v>3</v>
      </c>
      <c r="G77" s="6">
        <v>3500</v>
      </c>
      <c r="H77" s="8">
        <f t="shared" si="1"/>
        <v>10500</v>
      </c>
    </row>
    <row r="78" spans="1:8" x14ac:dyDescent="0.3">
      <c r="A78" s="3">
        <v>45399</v>
      </c>
      <c r="B78" s="2" t="s">
        <v>11</v>
      </c>
      <c r="C78" s="2" t="s">
        <v>12</v>
      </c>
      <c r="D78" s="2" t="s">
        <v>9</v>
      </c>
      <c r="E78" s="2" t="s">
        <v>13</v>
      </c>
      <c r="F78" s="2">
        <v>12</v>
      </c>
      <c r="G78" s="6">
        <v>80</v>
      </c>
      <c r="H78" s="8">
        <f t="shared" si="1"/>
        <v>960</v>
      </c>
    </row>
    <row r="79" spans="1:8" x14ac:dyDescent="0.3">
      <c r="A79" s="3">
        <v>45400</v>
      </c>
      <c r="B79" s="2" t="s">
        <v>14</v>
      </c>
      <c r="C79" s="2" t="s">
        <v>15</v>
      </c>
      <c r="D79" s="2" t="s">
        <v>9</v>
      </c>
      <c r="E79" s="2" t="s">
        <v>16</v>
      </c>
      <c r="F79" s="2">
        <v>4</v>
      </c>
      <c r="G79" s="6">
        <v>150</v>
      </c>
      <c r="H79" s="8">
        <f t="shared" si="1"/>
        <v>600</v>
      </c>
    </row>
    <row r="80" spans="1:8" x14ac:dyDescent="0.3">
      <c r="A80" s="3">
        <v>45401</v>
      </c>
      <c r="B80" s="2" t="s">
        <v>7</v>
      </c>
      <c r="C80" s="2" t="s">
        <v>17</v>
      </c>
      <c r="D80" s="2" t="s">
        <v>9</v>
      </c>
      <c r="E80" s="2" t="s">
        <v>10</v>
      </c>
      <c r="F80" s="2">
        <v>2</v>
      </c>
      <c r="G80" s="6">
        <v>1200</v>
      </c>
      <c r="H80" s="8">
        <f t="shared" si="1"/>
        <v>2400</v>
      </c>
    </row>
    <row r="81" spans="1:8" x14ac:dyDescent="0.3">
      <c r="A81" s="3">
        <v>45402</v>
      </c>
      <c r="B81" s="2" t="s">
        <v>18</v>
      </c>
      <c r="C81" s="2" t="s">
        <v>19</v>
      </c>
      <c r="D81" s="2" t="s">
        <v>20</v>
      </c>
      <c r="E81" s="2" t="s">
        <v>21</v>
      </c>
      <c r="F81" s="2">
        <v>1</v>
      </c>
      <c r="G81" s="6">
        <v>900</v>
      </c>
      <c r="H81" s="8">
        <f t="shared" si="1"/>
        <v>900</v>
      </c>
    </row>
    <row r="82" spans="1:8" x14ac:dyDescent="0.3">
      <c r="A82" s="3">
        <v>45403</v>
      </c>
      <c r="B82" s="2" t="s">
        <v>11</v>
      </c>
      <c r="C82" s="2" t="s">
        <v>8</v>
      </c>
      <c r="D82" s="2" t="s">
        <v>9</v>
      </c>
      <c r="E82" s="2" t="s">
        <v>13</v>
      </c>
      <c r="F82" s="2">
        <v>1</v>
      </c>
      <c r="G82" s="6">
        <v>3500</v>
      </c>
      <c r="H82" s="8">
        <f t="shared" si="1"/>
        <v>3500</v>
      </c>
    </row>
    <row r="83" spans="1:8" x14ac:dyDescent="0.3">
      <c r="A83" s="3">
        <v>45404</v>
      </c>
      <c r="B83" s="2" t="s">
        <v>14</v>
      </c>
      <c r="C83" s="2" t="s">
        <v>12</v>
      </c>
      <c r="D83" s="2" t="s">
        <v>9</v>
      </c>
      <c r="E83" s="2" t="s">
        <v>16</v>
      </c>
      <c r="F83" s="2">
        <v>8</v>
      </c>
      <c r="G83" s="6">
        <v>80</v>
      </c>
      <c r="H83" s="8">
        <f t="shared" si="1"/>
        <v>640</v>
      </c>
    </row>
    <row r="84" spans="1:8" x14ac:dyDescent="0.3">
      <c r="A84" s="3">
        <v>45405</v>
      </c>
      <c r="B84" s="2" t="s">
        <v>7</v>
      </c>
      <c r="C84" s="2" t="s">
        <v>15</v>
      </c>
      <c r="D84" s="2" t="s">
        <v>9</v>
      </c>
      <c r="E84" s="2" t="s">
        <v>10</v>
      </c>
      <c r="F84" s="2">
        <v>3</v>
      </c>
      <c r="G84" s="6">
        <v>150</v>
      </c>
      <c r="H84" s="8">
        <f t="shared" si="1"/>
        <v>450</v>
      </c>
    </row>
    <row r="85" spans="1:8" x14ac:dyDescent="0.3">
      <c r="A85" s="3">
        <v>45406</v>
      </c>
      <c r="B85" s="2" t="s">
        <v>18</v>
      </c>
      <c r="C85" s="2" t="s">
        <v>17</v>
      </c>
      <c r="D85" s="2" t="s">
        <v>9</v>
      </c>
      <c r="E85" s="2" t="s">
        <v>21</v>
      </c>
      <c r="F85" s="2">
        <v>2</v>
      </c>
      <c r="G85" s="6">
        <v>1200</v>
      </c>
      <c r="H85" s="8">
        <f t="shared" si="1"/>
        <v>2400</v>
      </c>
    </row>
    <row r="86" spans="1:8" x14ac:dyDescent="0.3">
      <c r="A86" s="3">
        <v>45407</v>
      </c>
      <c r="B86" s="2" t="s">
        <v>11</v>
      </c>
      <c r="C86" s="2" t="s">
        <v>19</v>
      </c>
      <c r="D86" s="2" t="s">
        <v>20</v>
      </c>
      <c r="E86" s="2" t="s">
        <v>13</v>
      </c>
      <c r="F86" s="2">
        <v>1</v>
      </c>
      <c r="G86" s="6">
        <v>900</v>
      </c>
      <c r="H86" s="8">
        <f t="shared" si="1"/>
        <v>900</v>
      </c>
    </row>
    <row r="87" spans="1:8" x14ac:dyDescent="0.3">
      <c r="A87" s="3">
        <v>45408</v>
      </c>
      <c r="B87" s="2" t="s">
        <v>7</v>
      </c>
      <c r="C87" s="2" t="s">
        <v>12</v>
      </c>
      <c r="D87" s="2" t="s">
        <v>9</v>
      </c>
      <c r="E87" s="2" t="s">
        <v>10</v>
      </c>
      <c r="F87" s="2">
        <v>6</v>
      </c>
      <c r="G87" s="6">
        <v>80</v>
      </c>
      <c r="H87" s="8">
        <f t="shared" si="1"/>
        <v>480</v>
      </c>
    </row>
    <row r="88" spans="1:8" x14ac:dyDescent="0.3">
      <c r="A88" s="3">
        <v>45409</v>
      </c>
      <c r="B88" s="2" t="s">
        <v>14</v>
      </c>
      <c r="C88" s="2" t="s">
        <v>8</v>
      </c>
      <c r="D88" s="2" t="s">
        <v>9</v>
      </c>
      <c r="E88" s="2" t="s">
        <v>16</v>
      </c>
      <c r="F88" s="2">
        <v>2</v>
      </c>
      <c r="G88" s="6">
        <v>3500</v>
      </c>
      <c r="H88" s="8">
        <f t="shared" si="1"/>
        <v>7000</v>
      </c>
    </row>
    <row r="89" spans="1:8" x14ac:dyDescent="0.3">
      <c r="A89" s="3">
        <v>45410</v>
      </c>
      <c r="B89" s="2" t="s">
        <v>11</v>
      </c>
      <c r="C89" s="2" t="s">
        <v>15</v>
      </c>
      <c r="D89" s="2" t="s">
        <v>9</v>
      </c>
      <c r="E89" s="2" t="s">
        <v>13</v>
      </c>
      <c r="F89" s="2">
        <v>7</v>
      </c>
      <c r="G89" s="6">
        <v>150</v>
      </c>
      <c r="H89" s="8">
        <f t="shared" si="1"/>
        <v>1050</v>
      </c>
    </row>
    <row r="90" spans="1:8" x14ac:dyDescent="0.3">
      <c r="A90" s="3">
        <v>45411</v>
      </c>
      <c r="B90" s="2" t="s">
        <v>7</v>
      </c>
      <c r="C90" s="2" t="s">
        <v>17</v>
      </c>
      <c r="D90" s="2" t="s">
        <v>9</v>
      </c>
      <c r="E90" s="2" t="s">
        <v>10</v>
      </c>
      <c r="F90" s="2">
        <v>1</v>
      </c>
      <c r="G90" s="6">
        <v>1200</v>
      </c>
      <c r="H90" s="8">
        <f t="shared" si="1"/>
        <v>1200</v>
      </c>
    </row>
    <row r="91" spans="1:8" x14ac:dyDescent="0.3">
      <c r="A91" s="3">
        <v>45412</v>
      </c>
      <c r="B91" s="2" t="s">
        <v>18</v>
      </c>
      <c r="C91" s="2" t="s">
        <v>19</v>
      </c>
      <c r="D91" s="2" t="s">
        <v>20</v>
      </c>
      <c r="E91" s="2" t="s">
        <v>21</v>
      </c>
      <c r="F91" s="2">
        <v>1</v>
      </c>
      <c r="G91" s="6">
        <v>900</v>
      </c>
      <c r="H91" s="8">
        <f t="shared" si="1"/>
        <v>900</v>
      </c>
    </row>
    <row r="92" spans="1:8" x14ac:dyDescent="0.3">
      <c r="A92" s="3">
        <v>45412</v>
      </c>
      <c r="B92" s="2" t="s">
        <v>18</v>
      </c>
      <c r="C92" s="2" t="s">
        <v>19</v>
      </c>
      <c r="D92" s="2" t="s">
        <v>20</v>
      </c>
      <c r="E92" s="2" t="s">
        <v>21</v>
      </c>
      <c r="F92" s="2">
        <v>1</v>
      </c>
      <c r="G92" s="6">
        <v>900</v>
      </c>
      <c r="H92" s="8">
        <f>F92*G92</f>
        <v>900</v>
      </c>
    </row>
  </sheetData>
  <dataConsolidate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B3F0-768D-4B27-AEC4-19DB4A391599}">
  <dimension ref="A3:K29"/>
  <sheetViews>
    <sheetView workbookViewId="0">
      <selection activeCell="C3" sqref="C3:D8"/>
    </sheetView>
  </sheetViews>
  <sheetFormatPr defaultRowHeight="14.4" x14ac:dyDescent="0.3"/>
  <cols>
    <col min="1" max="1" width="19.33203125" bestFit="1" customWidth="1"/>
    <col min="3" max="3" width="16.77734375" bestFit="1" customWidth="1"/>
    <col min="4" max="4" width="18.33203125" bestFit="1" customWidth="1"/>
    <col min="5" max="5" width="2" bestFit="1" customWidth="1"/>
    <col min="6" max="6" width="16.77734375" bestFit="1" customWidth="1"/>
    <col min="7" max="7" width="14" bestFit="1" customWidth="1"/>
    <col min="8" max="8" width="2" bestFit="1" customWidth="1"/>
    <col min="9" max="9" width="16.77734375" bestFit="1" customWidth="1"/>
    <col min="10" max="10" width="14" bestFit="1" customWidth="1"/>
    <col min="11" max="12" width="19.6640625" bestFit="1" customWidth="1"/>
    <col min="13" max="15" width="3" bestFit="1" customWidth="1"/>
    <col min="16" max="16" width="10" bestFit="1" customWidth="1"/>
  </cols>
  <sheetData>
    <row r="3" spans="1:10" x14ac:dyDescent="0.3">
      <c r="A3" t="s">
        <v>34</v>
      </c>
      <c r="C3" s="10" t="s">
        <v>26</v>
      </c>
      <c r="D3" t="s">
        <v>28</v>
      </c>
      <c r="F3" s="10" t="s">
        <v>26</v>
      </c>
      <c r="G3" s="14" t="s">
        <v>28</v>
      </c>
      <c r="I3" s="10" t="s">
        <v>26</v>
      </c>
      <c r="J3" s="14" t="s">
        <v>28</v>
      </c>
    </row>
    <row r="4" spans="1:10" x14ac:dyDescent="0.3">
      <c r="A4" s="12">
        <v>194350</v>
      </c>
      <c r="C4" s="11" t="s">
        <v>18</v>
      </c>
      <c r="D4" s="14">
        <v>28</v>
      </c>
      <c r="F4" s="11" t="s">
        <v>19</v>
      </c>
      <c r="G4" s="14">
        <v>21</v>
      </c>
      <c r="I4" s="11" t="s">
        <v>29</v>
      </c>
      <c r="J4" s="14">
        <v>45</v>
      </c>
    </row>
    <row r="5" spans="1:10" x14ac:dyDescent="0.3">
      <c r="A5" s="12">
        <v>194350</v>
      </c>
      <c r="C5" s="11" t="s">
        <v>14</v>
      </c>
      <c r="D5" s="14">
        <v>88</v>
      </c>
      <c r="F5" s="11" t="s">
        <v>17</v>
      </c>
      <c r="G5" s="14">
        <v>32</v>
      </c>
      <c r="I5" s="11" t="s">
        <v>30</v>
      </c>
      <c r="J5" s="14">
        <v>64</v>
      </c>
    </row>
    <row r="6" spans="1:10" x14ac:dyDescent="0.3">
      <c r="A6" t="s">
        <v>35</v>
      </c>
      <c r="C6" s="11" t="s">
        <v>7</v>
      </c>
      <c r="D6" s="14">
        <v>89</v>
      </c>
      <c r="F6" s="11" t="s">
        <v>12</v>
      </c>
      <c r="G6" s="14">
        <v>150</v>
      </c>
      <c r="I6" s="11" t="s">
        <v>31</v>
      </c>
      <c r="J6" s="14">
        <v>103</v>
      </c>
    </row>
    <row r="7" spans="1:10" x14ac:dyDescent="0.3">
      <c r="A7" s="14">
        <v>322</v>
      </c>
      <c r="C7" s="11" t="s">
        <v>11</v>
      </c>
      <c r="D7" s="14">
        <v>117</v>
      </c>
      <c r="F7" s="11" t="s">
        <v>8</v>
      </c>
      <c r="G7" s="14">
        <v>32</v>
      </c>
      <c r="I7" s="11" t="s">
        <v>32</v>
      </c>
      <c r="J7" s="14">
        <v>110</v>
      </c>
    </row>
    <row r="8" spans="1:10" x14ac:dyDescent="0.3">
      <c r="A8">
        <v>322</v>
      </c>
      <c r="C8" s="11" t="s">
        <v>27</v>
      </c>
      <c r="D8" s="14">
        <v>322</v>
      </c>
      <c r="F8" s="11" t="s">
        <v>15</v>
      </c>
      <c r="G8" s="14">
        <v>87</v>
      </c>
      <c r="I8" s="11" t="s">
        <v>27</v>
      </c>
      <c r="J8" s="14">
        <v>322</v>
      </c>
    </row>
    <row r="9" spans="1:10" x14ac:dyDescent="0.3">
      <c r="A9" s="7" t="s">
        <v>36</v>
      </c>
      <c r="F9" s="11" t="s">
        <v>27</v>
      </c>
      <c r="G9" s="14">
        <v>322</v>
      </c>
    </row>
    <row r="10" spans="1:10" x14ac:dyDescent="0.3">
      <c r="A10" s="7">
        <v>603.57142857142856</v>
      </c>
      <c r="C10" s="10" t="s">
        <v>26</v>
      </c>
      <c r="D10" t="s">
        <v>33</v>
      </c>
    </row>
    <row r="11" spans="1:10" x14ac:dyDescent="0.3">
      <c r="A11" s="7">
        <v>603.57142857142856</v>
      </c>
      <c r="C11" s="11" t="s">
        <v>18</v>
      </c>
      <c r="D11" s="12">
        <v>18300</v>
      </c>
      <c r="F11" s="10" t="s">
        <v>26</v>
      </c>
      <c r="G11" t="s">
        <v>33</v>
      </c>
      <c r="I11" s="10" t="s">
        <v>26</v>
      </c>
      <c r="J11" t="s">
        <v>33</v>
      </c>
    </row>
    <row r="12" spans="1:10" x14ac:dyDescent="0.3">
      <c r="C12" s="11" t="s">
        <v>14</v>
      </c>
      <c r="D12" s="12">
        <v>23280</v>
      </c>
      <c r="F12" s="11" t="s">
        <v>19</v>
      </c>
      <c r="G12" s="12">
        <v>16200</v>
      </c>
      <c r="I12" s="11" t="s">
        <v>29</v>
      </c>
      <c r="J12" s="12">
        <v>15240</v>
      </c>
    </row>
    <row r="13" spans="1:10" x14ac:dyDescent="0.3">
      <c r="C13" s="11" t="s">
        <v>7</v>
      </c>
      <c r="D13" s="12">
        <v>35280</v>
      </c>
      <c r="F13" s="11" t="s">
        <v>17</v>
      </c>
      <c r="G13" s="12">
        <v>21600</v>
      </c>
      <c r="I13" s="11" t="s">
        <v>30</v>
      </c>
      <c r="J13" s="12">
        <v>19740</v>
      </c>
    </row>
    <row r="14" spans="1:10" x14ac:dyDescent="0.3">
      <c r="C14" s="11" t="s">
        <v>11</v>
      </c>
      <c r="D14" s="12">
        <v>28080</v>
      </c>
      <c r="F14" s="11" t="s">
        <v>12</v>
      </c>
      <c r="G14" s="12">
        <v>1440</v>
      </c>
      <c r="I14" s="11" t="s">
        <v>31</v>
      </c>
      <c r="J14" s="12">
        <v>34980</v>
      </c>
    </row>
    <row r="15" spans="1:10" x14ac:dyDescent="0.3">
      <c r="C15" s="11" t="s">
        <v>27</v>
      </c>
      <c r="D15" s="12">
        <v>104940</v>
      </c>
      <c r="F15" s="11" t="s">
        <v>8</v>
      </c>
      <c r="G15" s="12">
        <v>63000</v>
      </c>
      <c r="I15" s="11" t="s">
        <v>32</v>
      </c>
      <c r="J15" s="12">
        <v>34980</v>
      </c>
    </row>
    <row r="16" spans="1:10" x14ac:dyDescent="0.3">
      <c r="F16" s="11" t="s">
        <v>15</v>
      </c>
      <c r="G16" s="12">
        <v>2700</v>
      </c>
      <c r="I16" s="11" t="s">
        <v>27</v>
      </c>
      <c r="J16" s="12">
        <v>104940</v>
      </c>
    </row>
    <row r="17" spans="3:11" x14ac:dyDescent="0.3">
      <c r="C17" s="10" t="s">
        <v>26</v>
      </c>
      <c r="D17" t="s">
        <v>33</v>
      </c>
      <c r="F17" s="11" t="s">
        <v>27</v>
      </c>
      <c r="G17" s="12">
        <v>104940</v>
      </c>
    </row>
    <row r="18" spans="3:11" x14ac:dyDescent="0.3">
      <c r="C18" s="11" t="s">
        <v>10</v>
      </c>
      <c r="D18" s="12">
        <v>35280</v>
      </c>
    </row>
    <row r="19" spans="3:11" x14ac:dyDescent="0.3">
      <c r="C19" s="11" t="s">
        <v>13</v>
      </c>
      <c r="D19" s="12">
        <v>28080</v>
      </c>
    </row>
    <row r="20" spans="3:11" x14ac:dyDescent="0.3">
      <c r="C20" s="11" t="s">
        <v>16</v>
      </c>
      <c r="D20" s="12">
        <v>23280</v>
      </c>
      <c r="I20" s="7"/>
      <c r="J20" s="7"/>
      <c r="K20" s="7"/>
    </row>
    <row r="21" spans="3:11" x14ac:dyDescent="0.3">
      <c r="C21" s="11" t="s">
        <v>21</v>
      </c>
      <c r="D21" s="12">
        <v>18300</v>
      </c>
    </row>
    <row r="22" spans="3:11" x14ac:dyDescent="0.3">
      <c r="C22" s="11" t="s">
        <v>27</v>
      </c>
      <c r="D22" s="12">
        <v>104940</v>
      </c>
    </row>
    <row r="23" spans="3:11" x14ac:dyDescent="0.3">
      <c r="I23" s="13"/>
      <c r="J23" s="15"/>
    </row>
    <row r="24" spans="3:11" x14ac:dyDescent="0.3">
      <c r="C24" s="10" t="s">
        <v>26</v>
      </c>
      <c r="D24" s="14" t="s">
        <v>28</v>
      </c>
      <c r="I24" s="11"/>
      <c r="J24" s="14"/>
    </row>
    <row r="25" spans="3:11" x14ac:dyDescent="0.3">
      <c r="C25" s="11" t="s">
        <v>10</v>
      </c>
      <c r="D25" s="14">
        <v>89</v>
      </c>
      <c r="I25" s="11"/>
      <c r="J25" s="14"/>
    </row>
    <row r="26" spans="3:11" x14ac:dyDescent="0.3">
      <c r="C26" s="11" t="s">
        <v>13</v>
      </c>
      <c r="D26" s="14">
        <v>117</v>
      </c>
    </row>
    <row r="27" spans="3:11" x14ac:dyDescent="0.3">
      <c r="C27" s="11" t="s">
        <v>16</v>
      </c>
      <c r="D27" s="14">
        <v>88</v>
      </c>
    </row>
    <row r="28" spans="3:11" x14ac:dyDescent="0.3">
      <c r="C28" s="11" t="s">
        <v>21</v>
      </c>
      <c r="D28" s="14">
        <v>28</v>
      </c>
    </row>
    <row r="29" spans="3:11" x14ac:dyDescent="0.3">
      <c r="C29" s="11" t="s">
        <v>27</v>
      </c>
      <c r="D29" s="14">
        <v>322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704A-03FD-4C6A-8097-66197B5807A5}">
  <dimension ref="A1:A10"/>
  <sheetViews>
    <sheetView tabSelected="1" workbookViewId="0">
      <selection activeCell="B26" sqref="B26"/>
    </sheetView>
  </sheetViews>
  <sheetFormatPr defaultRowHeight="14.4" x14ac:dyDescent="0.3"/>
  <cols>
    <col min="1" max="1" width="21.109375" customWidth="1"/>
  </cols>
  <sheetData>
    <row r="1" spans="1:1" x14ac:dyDescent="0.3">
      <c r="A1" s="16" t="s">
        <v>37</v>
      </c>
    </row>
    <row r="2" spans="1:1" x14ac:dyDescent="0.3">
      <c r="A2" s="2"/>
    </row>
    <row r="3" spans="1:1" x14ac:dyDescent="0.3">
      <c r="A3" s="17" t="s">
        <v>38</v>
      </c>
    </row>
    <row r="4" spans="1:1" x14ac:dyDescent="0.3">
      <c r="A4" s="18">
        <f>'Tabela dinamica'!A5</f>
        <v>194350</v>
      </c>
    </row>
    <row r="5" spans="1:1" x14ac:dyDescent="0.3">
      <c r="A5" s="2"/>
    </row>
    <row r="6" spans="1:1" x14ac:dyDescent="0.3">
      <c r="A6" s="17" t="s">
        <v>39</v>
      </c>
    </row>
    <row r="7" spans="1:1" x14ac:dyDescent="0.3">
      <c r="A7" s="19">
        <f>'Tabela dinamica'!A8</f>
        <v>322</v>
      </c>
    </row>
    <row r="8" spans="1:1" x14ac:dyDescent="0.3">
      <c r="A8" s="2"/>
    </row>
    <row r="9" spans="1:1" x14ac:dyDescent="0.3">
      <c r="A9" s="17" t="s">
        <v>40</v>
      </c>
    </row>
    <row r="10" spans="1:1" x14ac:dyDescent="0.3">
      <c r="A10" s="20">
        <f>'Tabela dinamica'!A11</f>
        <v>603.57142857142856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8E6B-D0FC-46F1-B945-D3464C2F8363}">
  <dimension ref="A1:A10"/>
  <sheetViews>
    <sheetView workbookViewId="0">
      <selection activeCell="U18" sqref="U18"/>
    </sheetView>
  </sheetViews>
  <sheetFormatPr defaultRowHeight="14.4" x14ac:dyDescent="0.3"/>
  <cols>
    <col min="1" max="1" width="19.77734375" customWidth="1"/>
  </cols>
  <sheetData>
    <row r="1" spans="1:1" x14ac:dyDescent="0.3">
      <c r="A1" s="16" t="s">
        <v>37</v>
      </c>
    </row>
    <row r="2" spans="1:1" x14ac:dyDescent="0.3">
      <c r="A2" s="2"/>
    </row>
    <row r="3" spans="1:1" x14ac:dyDescent="0.3">
      <c r="A3" s="17" t="s">
        <v>38</v>
      </c>
    </row>
    <row r="4" spans="1:1" x14ac:dyDescent="0.3">
      <c r="A4" s="18">
        <f>'Tabela dinamica'!A5</f>
        <v>194350</v>
      </c>
    </row>
    <row r="5" spans="1:1" x14ac:dyDescent="0.3">
      <c r="A5" s="2"/>
    </row>
    <row r="6" spans="1:1" x14ac:dyDescent="0.3">
      <c r="A6" s="17" t="s">
        <v>39</v>
      </c>
    </row>
    <row r="7" spans="1:1" x14ac:dyDescent="0.3">
      <c r="A7" s="19">
        <f>'Tabela dinamica'!A8</f>
        <v>322</v>
      </c>
    </row>
    <row r="8" spans="1:1" x14ac:dyDescent="0.3">
      <c r="A8" s="2"/>
    </row>
    <row r="9" spans="1:1" x14ac:dyDescent="0.3">
      <c r="A9" s="17" t="s">
        <v>40</v>
      </c>
    </row>
    <row r="10" spans="1:1" x14ac:dyDescent="0.3">
      <c r="A10" s="20">
        <f>'Tabela dinamica'!A11</f>
        <v>603.57142857142856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Vendas(Tabela Base)</vt:lpstr>
      <vt:lpstr>Tabela dinamica</vt:lpstr>
      <vt:lpstr>Dash (vendedorRegiao)</vt:lpstr>
      <vt:lpstr>Dash (CategoriaMês)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Miriã Alves dos Santos</dc:creator>
  <cp:lastModifiedBy>Miriã Alves dos Santos</cp:lastModifiedBy>
  <dcterms:created xsi:type="dcterms:W3CDTF">2026-03-10T16:47:01Z</dcterms:created>
  <dcterms:modified xsi:type="dcterms:W3CDTF">2026-03-11T13:57:46Z</dcterms:modified>
</cp:coreProperties>
</file>